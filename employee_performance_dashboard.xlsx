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bae8a02de3457a/Desktop/Project/Employee Performance Analysis/"/>
    </mc:Choice>
  </mc:AlternateContent>
  <xr:revisionPtr revIDLastSave="6" documentId="11_B1B67FCC6099ABDEE8170B873B5BC8F1502BA2CB" xr6:coauthVersionLast="47" xr6:coauthVersionMax="47" xr10:uidLastSave="{D7CCFE20-7157-4CB3-B237-3C594BA852B5}"/>
  <bookViews>
    <workbookView xWindow="-108" yWindow="-108" windowWidth="23256" windowHeight="12456" xr2:uid="{00000000-000D-0000-FFFF-FFFF00000000}"/>
  </bookViews>
  <sheets>
    <sheet name="Sheet3" sheetId="3" r:id="rId1"/>
    <sheet name="employee_performance Table" sheetId="1" r:id="rId2"/>
  </sheets>
  <definedNames>
    <definedName name="_xlchart.v1.0" hidden="1">'employee_performance Table'!$J$1</definedName>
    <definedName name="_xlchart.v1.1" hidden="1">'employee_performance Table'!$J$2:$J$1001</definedName>
  </definedNames>
  <calcPr calcId="191029"/>
  <pivotCaches>
    <pivotCache cacheId="3" r:id="rId3"/>
  </pivotCaches>
</workbook>
</file>

<file path=xl/calcChain.xml><?xml version="1.0" encoding="utf-8"?>
<calcChain xmlns="http://schemas.openxmlformats.org/spreadsheetml/2006/main">
  <c r="F4" i="3" l="1"/>
  <c r="E4" i="3"/>
  <c r="C4" i="3"/>
  <c r="B4" i="3"/>
</calcChain>
</file>

<file path=xl/sharedStrings.xml><?xml version="1.0" encoding="utf-8"?>
<sst xmlns="http://schemas.openxmlformats.org/spreadsheetml/2006/main" count="9086" uniqueCount="2070">
  <si>
    <t>David Williams</t>
  </si>
  <si>
    <t>Brittany Smith</t>
  </si>
  <si>
    <t>Kelly Wilson</t>
  </si>
  <si>
    <t>Nicholas Williams</t>
  </si>
  <si>
    <t>Michael Johnson</t>
  </si>
  <si>
    <t>James Camacho</t>
  </si>
  <si>
    <t>Jennifer Thompson</t>
  </si>
  <si>
    <t>Timothy Montoya</t>
  </si>
  <si>
    <t>Daniel Smith</t>
  </si>
  <si>
    <t>Thomas Gonzalez</t>
  </si>
  <si>
    <t>Victoria Jones</t>
  </si>
  <si>
    <t>Sarah Moore</t>
  </si>
  <si>
    <t>Finance</t>
  </si>
  <si>
    <t>HR</t>
  </si>
  <si>
    <t>IT</t>
  </si>
  <si>
    <t>Sales</t>
  </si>
  <si>
    <t>Operations</t>
  </si>
  <si>
    <t>Marketing</t>
  </si>
  <si>
    <t>Female</t>
  </si>
  <si>
    <t>Male</t>
  </si>
  <si>
    <t>Medium</t>
  </si>
  <si>
    <t>High</t>
  </si>
  <si>
    <t>Low</t>
  </si>
  <si>
    <t>No</t>
  </si>
  <si>
    <t>Yes</t>
  </si>
  <si>
    <t>Row Labels</t>
  </si>
  <si>
    <t>Grand Total</t>
  </si>
  <si>
    <t>Total Employees</t>
  </si>
  <si>
    <t>Average Salary</t>
  </si>
  <si>
    <t>Best Department</t>
  </si>
  <si>
    <t>Highest Performer</t>
  </si>
  <si>
    <t>Promotion Rate</t>
  </si>
  <si>
    <t>Department Performance</t>
  </si>
  <si>
    <t>Salary by Department</t>
  </si>
  <si>
    <t>Gender Distribution</t>
  </si>
  <si>
    <t>EMPLOYEE PERFORMANCE DASHBOARD</t>
  </si>
  <si>
    <t>employee_id</t>
  </si>
  <si>
    <t>employee_name</t>
  </si>
  <si>
    <t>gender</t>
  </si>
  <si>
    <t>age</t>
  </si>
  <si>
    <t>city</t>
  </si>
  <si>
    <t>department</t>
  </si>
  <si>
    <t>job_role</t>
  </si>
  <si>
    <t>education_level</t>
  </si>
  <si>
    <t>experience_years</t>
  </si>
  <si>
    <t>salary</t>
  </si>
  <si>
    <t>attendance_percentage</t>
  </si>
  <si>
    <t>projects_completed</t>
  </si>
  <si>
    <t>overtime_hours</t>
  </si>
  <si>
    <t>training_hours</t>
  </si>
  <si>
    <t>job_satisfaction</t>
  </si>
  <si>
    <t>performance_score</t>
  </si>
  <si>
    <t>promotion</t>
  </si>
  <si>
    <t>EMP0001</t>
  </si>
  <si>
    <t>Jessica Clarke</t>
  </si>
  <si>
    <t>Hyderabad</t>
  </si>
  <si>
    <t>Recruiter</t>
  </si>
  <si>
    <t>Masters</t>
  </si>
  <si>
    <t>EMP0002</t>
  </si>
  <si>
    <t>Sandra Woods</t>
  </si>
  <si>
    <t>Pune</t>
  </si>
  <si>
    <t>Sales Executive</t>
  </si>
  <si>
    <t>MBA</t>
  </si>
  <si>
    <t>EMP0003</t>
  </si>
  <si>
    <t>Stephen Wells</t>
  </si>
  <si>
    <t>Mumbai</t>
  </si>
  <si>
    <t>HR Executive</t>
  </si>
  <si>
    <t>EMP0004</t>
  </si>
  <si>
    <t>Amber Giles</t>
  </si>
  <si>
    <t>Chennai</t>
  </si>
  <si>
    <t>Software Engineer</t>
  </si>
  <si>
    <t>EMP0005</t>
  </si>
  <si>
    <t>Amanda Williams</t>
  </si>
  <si>
    <t>Business Development Executive</t>
  </si>
  <si>
    <t>EMP0006</t>
  </si>
  <si>
    <t>Amanda Gordon</t>
  </si>
  <si>
    <t>Supervisor</t>
  </si>
  <si>
    <t>Bachelors</t>
  </si>
  <si>
    <t>EMP0007</t>
  </si>
  <si>
    <t>Steven Castaneda</t>
  </si>
  <si>
    <t>Bangalore</t>
  </si>
  <si>
    <t>EMP0008</t>
  </si>
  <si>
    <t>Jessica Reyes</t>
  </si>
  <si>
    <t>EMP0009</t>
  </si>
  <si>
    <t>Dr. Lisa Burton MD</t>
  </si>
  <si>
    <t>System Admin</t>
  </si>
  <si>
    <t>Diploma</t>
  </si>
  <si>
    <t>EMP0010</t>
  </si>
  <si>
    <t>Mark Hernandez</t>
  </si>
  <si>
    <t>EMP0011</t>
  </si>
  <si>
    <t>Jeanne Brandt</t>
  </si>
  <si>
    <t>Delhi</t>
  </si>
  <si>
    <t>Auditor</t>
  </si>
  <si>
    <t>EMP0012</t>
  </si>
  <si>
    <t>Theresa Jones</t>
  </si>
  <si>
    <t>EMP0013</t>
  </si>
  <si>
    <t>Diane Hall</t>
  </si>
  <si>
    <t>EMP0014</t>
  </si>
  <si>
    <t>Christina Baker</t>
  </si>
  <si>
    <t>SEO Analyst</t>
  </si>
  <si>
    <t>EMP0015</t>
  </si>
  <si>
    <t>Gregory Sparks</t>
  </si>
  <si>
    <t>Content Strategist</t>
  </si>
  <si>
    <t>EMP0016</t>
  </si>
  <si>
    <t>Linda Mcdonald</t>
  </si>
  <si>
    <t>EMP0017</t>
  </si>
  <si>
    <t>Ashley Meyers</t>
  </si>
  <si>
    <t>HR Manager</t>
  </si>
  <si>
    <t>EMP0018</t>
  </si>
  <si>
    <t>Jonathan Santana</t>
  </si>
  <si>
    <t>Data Analyst</t>
  </si>
  <si>
    <t>EMP0019</t>
  </si>
  <si>
    <t>Kenneth Hill</t>
  </si>
  <si>
    <t>EMP0020</t>
  </si>
  <si>
    <t>Peter Sanchez</t>
  </si>
  <si>
    <t>EMP0021</t>
  </si>
  <si>
    <t>Sara Cook</t>
  </si>
  <si>
    <t>EMP0022</t>
  </si>
  <si>
    <t>Matthew Ramirez</t>
  </si>
  <si>
    <t>Financial Analyst</t>
  </si>
  <si>
    <t>EMP0023</t>
  </si>
  <si>
    <t>Dr. Jerry George II</t>
  </si>
  <si>
    <t>EMP0024</t>
  </si>
  <si>
    <t>Elizabeth Adams</t>
  </si>
  <si>
    <t>EMP0025</t>
  </si>
  <si>
    <t>Steven Carter DDS</t>
  </si>
  <si>
    <t>EMP0026</t>
  </si>
  <si>
    <t>Ashley Beltran</t>
  </si>
  <si>
    <t>EMP0027</t>
  </si>
  <si>
    <t>Steven Rose</t>
  </si>
  <si>
    <t>Sales Manager</t>
  </si>
  <si>
    <t>EMP0028</t>
  </si>
  <si>
    <t>Juan Whitehead</t>
  </si>
  <si>
    <t>EMP0029</t>
  </si>
  <si>
    <t>Manuel Wilson</t>
  </si>
  <si>
    <t>Marketing Executive</t>
  </si>
  <si>
    <t>EMP0030</t>
  </si>
  <si>
    <t>Brittany Jackson</t>
  </si>
  <si>
    <t>EMP0031</t>
  </si>
  <si>
    <t>Mr. Johnny Romero</t>
  </si>
  <si>
    <t>EMP0032</t>
  </si>
  <si>
    <t>Martin Obrien</t>
  </si>
  <si>
    <t>EMP0033</t>
  </si>
  <si>
    <t>Alejandra Moody</t>
  </si>
  <si>
    <t>EMP0034</t>
  </si>
  <si>
    <t>Jill Mahoney</t>
  </si>
  <si>
    <t>EMP0035</t>
  </si>
  <si>
    <t>Debra Farmer</t>
  </si>
  <si>
    <t>EMP0036</t>
  </si>
  <si>
    <t>Savannah Singh</t>
  </si>
  <si>
    <t>EMP0037</t>
  </si>
  <si>
    <t>Amanda Swanson</t>
  </si>
  <si>
    <t>Accountant</t>
  </si>
  <si>
    <t>EMP0038</t>
  </si>
  <si>
    <t>Lisa Olson</t>
  </si>
  <si>
    <t>EMP0039</t>
  </si>
  <si>
    <t>Teresa White</t>
  </si>
  <si>
    <t>EMP0040</t>
  </si>
  <si>
    <t>Cody Rodriguez</t>
  </si>
  <si>
    <t>EMP0041</t>
  </si>
  <si>
    <t>Alexis Juarez DDS</t>
  </si>
  <si>
    <t>EMP0042</t>
  </si>
  <si>
    <t>Keith Hogan</t>
  </si>
  <si>
    <t>EMP0043</t>
  </si>
  <si>
    <t>Anna Phillips</t>
  </si>
  <si>
    <t>EMP0044</t>
  </si>
  <si>
    <t>Jeremy Wood</t>
  </si>
  <si>
    <t>EMP0045</t>
  </si>
  <si>
    <t>James Watts</t>
  </si>
  <si>
    <t>EMP0046</t>
  </si>
  <si>
    <t>John Cannon</t>
  </si>
  <si>
    <t>EMP0047</t>
  </si>
  <si>
    <t>Taylor Kelly</t>
  </si>
  <si>
    <t>EMP0048</t>
  </si>
  <si>
    <t>David Brown</t>
  </si>
  <si>
    <t>EMP0049</t>
  </si>
  <si>
    <t>Brenda Romero</t>
  </si>
  <si>
    <t>EMP0050</t>
  </si>
  <si>
    <t>Maria Martin</t>
  </si>
  <si>
    <t>EMP0051</t>
  </si>
  <si>
    <t>Scott Prince</t>
  </si>
  <si>
    <t>Operations Executive</t>
  </si>
  <si>
    <t>EMP0052</t>
  </si>
  <si>
    <t>Caleb Strickland</t>
  </si>
  <si>
    <t>EMP0053</t>
  </si>
  <si>
    <t>Jason Morrow</t>
  </si>
  <si>
    <t>EMP0054</t>
  </si>
  <si>
    <t>James Baird</t>
  </si>
  <si>
    <t>EMP0055</t>
  </si>
  <si>
    <t>Crystal Pittman</t>
  </si>
  <si>
    <t>EMP0056</t>
  </si>
  <si>
    <t>Desiree Peterson</t>
  </si>
  <si>
    <t>EMP0057</t>
  </si>
  <si>
    <t>Marcus Wright</t>
  </si>
  <si>
    <t>EMP0058</t>
  </si>
  <si>
    <t>Gary Williamson</t>
  </si>
  <si>
    <t>EMP0059</t>
  </si>
  <si>
    <t>Brian Dyer</t>
  </si>
  <si>
    <t>EMP0060</t>
  </si>
  <si>
    <t>Shawn Ross</t>
  </si>
  <si>
    <t>EMP0061</t>
  </si>
  <si>
    <t>Brandon Burnett</t>
  </si>
  <si>
    <t>EMP0062</t>
  </si>
  <si>
    <t>Kaitlin Turner</t>
  </si>
  <si>
    <t>EMP0063</t>
  </si>
  <si>
    <t>Beth Hernandez</t>
  </si>
  <si>
    <t>EMP0064</t>
  </si>
  <si>
    <t>Daniel Stone</t>
  </si>
  <si>
    <t>EMP0065</t>
  </si>
  <si>
    <t>Sheila Sanchez</t>
  </si>
  <si>
    <t>EMP0066</t>
  </si>
  <si>
    <t>Carol Flores</t>
  </si>
  <si>
    <t>EMP0067</t>
  </si>
  <si>
    <t>Thomas Howell</t>
  </si>
  <si>
    <t>EMP0068</t>
  </si>
  <si>
    <t>Donna Murray</t>
  </si>
  <si>
    <t>EMP0069</t>
  </si>
  <si>
    <t>Leslie Moore</t>
  </si>
  <si>
    <t>EMP0070</t>
  </si>
  <si>
    <t>James Brown</t>
  </si>
  <si>
    <t>EMP0071</t>
  </si>
  <si>
    <t>Jill Gilbert</t>
  </si>
  <si>
    <t>EMP0072</t>
  </si>
  <si>
    <t>Jonathan Miller</t>
  </si>
  <si>
    <t>EMP0073</t>
  </si>
  <si>
    <t>Ashley Perry DVM</t>
  </si>
  <si>
    <t>EMP0074</t>
  </si>
  <si>
    <t>David Fletcher</t>
  </si>
  <si>
    <t>EMP0075</t>
  </si>
  <si>
    <t>Michelle Watson</t>
  </si>
  <si>
    <t>EMP0076</t>
  </si>
  <si>
    <t>Brianna Ramirez</t>
  </si>
  <si>
    <t>EMP0077</t>
  </si>
  <si>
    <t>Lorraine Reid</t>
  </si>
  <si>
    <t>EMP0078</t>
  </si>
  <si>
    <t>Lisa Snow</t>
  </si>
  <si>
    <t>EMP0079</t>
  </si>
  <si>
    <t>Jennifer Gillespie</t>
  </si>
  <si>
    <t>EMP0080</t>
  </si>
  <si>
    <t>Linda Jones DDS</t>
  </si>
  <si>
    <t>EMP0081</t>
  </si>
  <si>
    <t>Craig Ruiz</t>
  </si>
  <si>
    <t>EMP0082</t>
  </si>
  <si>
    <t>Mr. Ronald Myers</t>
  </si>
  <si>
    <t>EMP0083</t>
  </si>
  <si>
    <t>Susan Morgan</t>
  </si>
  <si>
    <t>EMP0084</t>
  </si>
  <si>
    <t>Thomas Gates DDS</t>
  </si>
  <si>
    <t>DevOps Engineer</t>
  </si>
  <si>
    <t>EMP0085</t>
  </si>
  <si>
    <t>Jonathan Anderson</t>
  </si>
  <si>
    <t>EMP0086</t>
  </si>
  <si>
    <t>Tamara Green</t>
  </si>
  <si>
    <t>EMP0087</t>
  </si>
  <si>
    <t>Gregory West</t>
  </si>
  <si>
    <t>EMP0088</t>
  </si>
  <si>
    <t>Daniel Booth</t>
  </si>
  <si>
    <t>EMP0089</t>
  </si>
  <si>
    <t>Perry Mason</t>
  </si>
  <si>
    <t>EMP0090</t>
  </si>
  <si>
    <t>Mr. William Chambers</t>
  </si>
  <si>
    <t>EMP0091</t>
  </si>
  <si>
    <t>William Bernard</t>
  </si>
  <si>
    <t>EMP0092</t>
  </si>
  <si>
    <t>Deanna Bailey</t>
  </si>
  <si>
    <t>EMP0093</t>
  </si>
  <si>
    <t>James Singleton</t>
  </si>
  <si>
    <t>EMP0094</t>
  </si>
  <si>
    <t>Calvin Hanson</t>
  </si>
  <si>
    <t>EMP0095</t>
  </si>
  <si>
    <t>Julie Miller</t>
  </si>
  <si>
    <t>Coordinator</t>
  </si>
  <si>
    <t>EMP0096</t>
  </si>
  <si>
    <t>Evan Hanna</t>
  </si>
  <si>
    <t>EMP0097</t>
  </si>
  <si>
    <t>Robert Lawrence</t>
  </si>
  <si>
    <t>EMP0098</t>
  </si>
  <si>
    <t>Jennifer Mckenzie</t>
  </si>
  <si>
    <t>EMP0099</t>
  </si>
  <si>
    <t>Michael Rodriguez</t>
  </si>
  <si>
    <t>EMP0100</t>
  </si>
  <si>
    <t>Bryan Rivera</t>
  </si>
  <si>
    <t>EMP0101</t>
  </si>
  <si>
    <t>Erica Reyes</t>
  </si>
  <si>
    <t>EMP0102</t>
  </si>
  <si>
    <t>Katie Medina</t>
  </si>
  <si>
    <t>EMP0103</t>
  </si>
  <si>
    <t>Noah Mason</t>
  </si>
  <si>
    <t>EMP0104</t>
  </si>
  <si>
    <t>Christy Brown</t>
  </si>
  <si>
    <t>EMP0105</t>
  </si>
  <si>
    <t>Patricia Parrish</t>
  </si>
  <si>
    <t>EMP0106</t>
  </si>
  <si>
    <t>Aaron Anderson</t>
  </si>
  <si>
    <t>EMP0107</t>
  </si>
  <si>
    <t>Morgan Wood</t>
  </si>
  <si>
    <t>EMP0108</t>
  </si>
  <si>
    <t>Parker Fernandez</t>
  </si>
  <si>
    <t>EMP0109</t>
  </si>
  <si>
    <t>Denise Everett</t>
  </si>
  <si>
    <t>EMP0110</t>
  </si>
  <si>
    <t>Jason Brown</t>
  </si>
  <si>
    <t>EMP0111</t>
  </si>
  <si>
    <t>Travis Turner</t>
  </si>
  <si>
    <t>EMP0112</t>
  </si>
  <si>
    <t>Kenneth Jacobs</t>
  </si>
  <si>
    <t>EMP0113</t>
  </si>
  <si>
    <t>Susan Davis</t>
  </si>
  <si>
    <t>EMP0114</t>
  </si>
  <si>
    <t>Katherine Morgan</t>
  </si>
  <si>
    <t>EMP0115</t>
  </si>
  <si>
    <t>Tyler Rogers</t>
  </si>
  <si>
    <t>EMP0116</t>
  </si>
  <si>
    <t>Deborah Phillips MD</t>
  </si>
  <si>
    <t>EMP0117</t>
  </si>
  <si>
    <t>Laura Lyons</t>
  </si>
  <si>
    <t>EMP0118</t>
  </si>
  <si>
    <t>Steve Matthews</t>
  </si>
  <si>
    <t>EMP0119</t>
  </si>
  <si>
    <t>Theresa Turner</t>
  </si>
  <si>
    <t>EMP0120</t>
  </si>
  <si>
    <t>Anthony Miles</t>
  </si>
  <si>
    <t>EMP0121</t>
  </si>
  <si>
    <t>Rachel Collier</t>
  </si>
  <si>
    <t>EMP0122</t>
  </si>
  <si>
    <t>Ann Reed</t>
  </si>
  <si>
    <t>EMP0123</t>
  </si>
  <si>
    <t>Danielle Marshall</t>
  </si>
  <si>
    <t>EMP0124</t>
  </si>
  <si>
    <t>Amanda Craig</t>
  </si>
  <si>
    <t>EMP0125</t>
  </si>
  <si>
    <t>Claire Garcia</t>
  </si>
  <si>
    <t>EMP0126</t>
  </si>
  <si>
    <t>Scott Whitaker</t>
  </si>
  <si>
    <t>EMP0127</t>
  </si>
  <si>
    <t>Danielle Foster</t>
  </si>
  <si>
    <t>EMP0128</t>
  </si>
  <si>
    <t>Juan Robinson</t>
  </si>
  <si>
    <t>EMP0129</t>
  </si>
  <si>
    <t>Maureen Barber</t>
  </si>
  <si>
    <t>EMP0130</t>
  </si>
  <si>
    <t>Nathaniel Tran</t>
  </si>
  <si>
    <t>EMP0131</t>
  </si>
  <si>
    <t>Nathan Underwood</t>
  </si>
  <si>
    <t>EMP0132</t>
  </si>
  <si>
    <t>Amy Scott</t>
  </si>
  <si>
    <t>EMP0133</t>
  </si>
  <si>
    <t>Kathleen Mclaughlin</t>
  </si>
  <si>
    <t>EMP0134</t>
  </si>
  <si>
    <t>Shawn Brown</t>
  </si>
  <si>
    <t>EMP0135</t>
  </si>
  <si>
    <t>Brittany Nelson</t>
  </si>
  <si>
    <t>EMP0136</t>
  </si>
  <si>
    <t>Richard Douglas DDS</t>
  </si>
  <si>
    <t>EMP0137</t>
  </si>
  <si>
    <t>Patrick Davidson</t>
  </si>
  <si>
    <t>EMP0138</t>
  </si>
  <si>
    <t>Crystal Pierce</t>
  </si>
  <si>
    <t>EMP0139</t>
  </si>
  <si>
    <t>Jane Williams</t>
  </si>
  <si>
    <t>EMP0140</t>
  </si>
  <si>
    <t>Jasmine Roberts</t>
  </si>
  <si>
    <t>EMP0141</t>
  </si>
  <si>
    <t>Kelsey Lewis</t>
  </si>
  <si>
    <t>EMP0142</t>
  </si>
  <si>
    <t>George Thomas</t>
  </si>
  <si>
    <t>EMP0143</t>
  </si>
  <si>
    <t>Stephanie Collins</t>
  </si>
  <si>
    <t>EMP0144</t>
  </si>
  <si>
    <t>Jessica Yates</t>
  </si>
  <si>
    <t>EMP0145</t>
  </si>
  <si>
    <t>Jason Ball</t>
  </si>
  <si>
    <t>EMP0146</t>
  </si>
  <si>
    <t>Kelli Barr</t>
  </si>
  <si>
    <t>EMP0147</t>
  </si>
  <si>
    <t>Molly Mendez</t>
  </si>
  <si>
    <t>EMP0148</t>
  </si>
  <si>
    <t>Stephanie Thomas</t>
  </si>
  <si>
    <t>EMP0149</t>
  </si>
  <si>
    <t>Kimberly Boone</t>
  </si>
  <si>
    <t>EMP0150</t>
  </si>
  <si>
    <t>Maria Cooper</t>
  </si>
  <si>
    <t>EMP0151</t>
  </si>
  <si>
    <t>Kristy Fields</t>
  </si>
  <si>
    <t>EMP0152</t>
  </si>
  <si>
    <t>Michelle Conway</t>
  </si>
  <si>
    <t>EMP0153</t>
  </si>
  <si>
    <t>Matthew Bryant</t>
  </si>
  <si>
    <t>EMP0154</t>
  </si>
  <si>
    <t>Jennifer Ford</t>
  </si>
  <si>
    <t>EMP0155</t>
  </si>
  <si>
    <t>Shannon Scott</t>
  </si>
  <si>
    <t>EMP0156</t>
  </si>
  <si>
    <t>Brenda Barrett</t>
  </si>
  <si>
    <t>EMP0157</t>
  </si>
  <si>
    <t>James Ford</t>
  </si>
  <si>
    <t>EMP0158</t>
  </si>
  <si>
    <t>Sarah Roberts</t>
  </si>
  <si>
    <t>EMP0159</t>
  </si>
  <si>
    <t>Johnny Smith</t>
  </si>
  <si>
    <t>EMP0160</t>
  </si>
  <si>
    <t>Jeffrey Davis</t>
  </si>
  <si>
    <t>EMP0161</t>
  </si>
  <si>
    <t>Terrance Swanson</t>
  </si>
  <si>
    <t>EMP0162</t>
  </si>
  <si>
    <t>Hayden Rose</t>
  </si>
  <si>
    <t>EMP0163</t>
  </si>
  <si>
    <t>Cory Black</t>
  </si>
  <si>
    <t>EMP0164</t>
  </si>
  <si>
    <t>Candice Shea</t>
  </si>
  <si>
    <t>EMP0165</t>
  </si>
  <si>
    <t>Phyllis Vasquez</t>
  </si>
  <si>
    <t>EMP0166</t>
  </si>
  <si>
    <t>Greg Hernandez</t>
  </si>
  <si>
    <t>EMP0167</t>
  </si>
  <si>
    <t>Janet Patterson</t>
  </si>
  <si>
    <t>EMP0168</t>
  </si>
  <si>
    <t>Jamie Davis</t>
  </si>
  <si>
    <t>EMP0169</t>
  </si>
  <si>
    <t>Diane Rodriguez</t>
  </si>
  <si>
    <t>EMP0170</t>
  </si>
  <si>
    <t>Jenna Woodward</t>
  </si>
  <si>
    <t>EMP0171</t>
  </si>
  <si>
    <t>Victoria English</t>
  </si>
  <si>
    <t>EMP0172</t>
  </si>
  <si>
    <t>James Wolfe</t>
  </si>
  <si>
    <t>EMP0173</t>
  </si>
  <si>
    <t>Pamela Mcdonald</t>
  </si>
  <si>
    <t>EMP0174</t>
  </si>
  <si>
    <t>Benjamin Bennett</t>
  </si>
  <si>
    <t>EMP0175</t>
  </si>
  <si>
    <t>Aaron Norton</t>
  </si>
  <si>
    <t>EMP0176</t>
  </si>
  <si>
    <t>Jennifer Morris DVM</t>
  </si>
  <si>
    <t>EMP0177</t>
  </si>
  <si>
    <t>Calvin Mays</t>
  </si>
  <si>
    <t>EMP0178</t>
  </si>
  <si>
    <t>Thomas Clark</t>
  </si>
  <si>
    <t>EMP0179</t>
  </si>
  <si>
    <t>Nicholas Mccullough</t>
  </si>
  <si>
    <t>EMP0180</t>
  </si>
  <si>
    <t>Nicholas Brown</t>
  </si>
  <si>
    <t>EMP0181</t>
  </si>
  <si>
    <t>Briana Romero</t>
  </si>
  <si>
    <t>EMP0182</t>
  </si>
  <si>
    <t>EMP0183</t>
  </si>
  <si>
    <t>Vanessa Bryan</t>
  </si>
  <si>
    <t>EMP0184</t>
  </si>
  <si>
    <t>Miranda Smith</t>
  </si>
  <si>
    <t>EMP0185</t>
  </si>
  <si>
    <t>Heather Gonzalez</t>
  </si>
  <si>
    <t>EMP0186</t>
  </si>
  <si>
    <t>Mr. Mark Smith</t>
  </si>
  <si>
    <t>EMP0187</t>
  </si>
  <si>
    <t>Alyssa Pierce</t>
  </si>
  <si>
    <t>EMP0188</t>
  </si>
  <si>
    <t>Michael Serrano</t>
  </si>
  <si>
    <t>EMP0189</t>
  </si>
  <si>
    <t>Eduardo Beasley</t>
  </si>
  <si>
    <t>EMP0190</t>
  </si>
  <si>
    <t>Heather Reed</t>
  </si>
  <si>
    <t>EMP0191</t>
  </si>
  <si>
    <t>Randy Deleon</t>
  </si>
  <si>
    <t>EMP0192</t>
  </si>
  <si>
    <t>Gregory Patrick</t>
  </si>
  <si>
    <t>EMP0193</t>
  </si>
  <si>
    <t>Jennifer Brown</t>
  </si>
  <si>
    <t>EMP0194</t>
  </si>
  <si>
    <t>Michelle Kelley</t>
  </si>
  <si>
    <t>EMP0195</t>
  </si>
  <si>
    <t>Ann Huff</t>
  </si>
  <si>
    <t>EMP0196</t>
  </si>
  <si>
    <t>Briana Cannon</t>
  </si>
  <si>
    <t>EMP0197</t>
  </si>
  <si>
    <t>Dennis Santana</t>
  </si>
  <si>
    <t>EMP0198</t>
  </si>
  <si>
    <t>Robert Baxter</t>
  </si>
  <si>
    <t>EMP0199</t>
  </si>
  <si>
    <t>Tim Carlson</t>
  </si>
  <si>
    <t>EMP0200</t>
  </si>
  <si>
    <t>Tracy Mooney</t>
  </si>
  <si>
    <t>EMP0201</t>
  </si>
  <si>
    <t>Raymond Robertson</t>
  </si>
  <si>
    <t>EMP0202</t>
  </si>
  <si>
    <t>Thomas Gutierrez</t>
  </si>
  <si>
    <t>EMP0203</t>
  </si>
  <si>
    <t>Elizabeth Cross</t>
  </si>
  <si>
    <t>EMP0204</t>
  </si>
  <si>
    <t>Tammy Mckee MD</t>
  </si>
  <si>
    <t>EMP0205</t>
  </si>
  <si>
    <t>Steven Fitzgerald</t>
  </si>
  <si>
    <t>EMP0206</t>
  </si>
  <si>
    <t>Tonya Nicholson DVM</t>
  </si>
  <si>
    <t>EMP0207</t>
  </si>
  <si>
    <t>Christian Adams</t>
  </si>
  <si>
    <t>EMP0208</t>
  </si>
  <si>
    <t>Autumn Parker</t>
  </si>
  <si>
    <t>EMP0209</t>
  </si>
  <si>
    <t>Christopher Brandt</t>
  </si>
  <si>
    <t>EMP0210</t>
  </si>
  <si>
    <t>Brian Torres</t>
  </si>
  <si>
    <t>EMP0211</t>
  </si>
  <si>
    <t>Kimberly Levine</t>
  </si>
  <si>
    <t>EMP0212</t>
  </si>
  <si>
    <t>Erik Williams</t>
  </si>
  <si>
    <t>EMP0213</t>
  </si>
  <si>
    <t>David Greene</t>
  </si>
  <si>
    <t>EMP0214</t>
  </si>
  <si>
    <t>Connie Wagner</t>
  </si>
  <si>
    <t>EMP0215</t>
  </si>
  <si>
    <t>Brandon Lin</t>
  </si>
  <si>
    <t>EMP0216</t>
  </si>
  <si>
    <t>Raymond Heath</t>
  </si>
  <si>
    <t>EMP0217</t>
  </si>
  <si>
    <t>Todd Parker</t>
  </si>
  <si>
    <t>EMP0218</t>
  </si>
  <si>
    <t>Kayla Jackson</t>
  </si>
  <si>
    <t>EMP0219</t>
  </si>
  <si>
    <t>EMP0220</t>
  </si>
  <si>
    <t>Cheyenne Harper</t>
  </si>
  <si>
    <t>EMP0221</t>
  </si>
  <si>
    <t>James Allen</t>
  </si>
  <si>
    <t>EMP0222</t>
  </si>
  <si>
    <t>Zachary Rhodes</t>
  </si>
  <si>
    <t>EMP0223</t>
  </si>
  <si>
    <t>Jessica Morgan</t>
  </si>
  <si>
    <t>EMP0224</t>
  </si>
  <si>
    <t>Melinda Martinez</t>
  </si>
  <si>
    <t>EMP0225</t>
  </si>
  <si>
    <t>Travis Murphy</t>
  </si>
  <si>
    <t>EMP0226</t>
  </si>
  <si>
    <t>Mary Stephens</t>
  </si>
  <si>
    <t>EMP0227</t>
  </si>
  <si>
    <t>Matthew Turner</t>
  </si>
  <si>
    <t>EMP0228</t>
  </si>
  <si>
    <t>Jennifer Davis</t>
  </si>
  <si>
    <t>EMP0229</t>
  </si>
  <si>
    <t>Theresa Murray</t>
  </si>
  <si>
    <t>EMP0230</t>
  </si>
  <si>
    <t>Bonnie Christensen</t>
  </si>
  <si>
    <t>EMP0231</t>
  </si>
  <si>
    <t>EMP0232</t>
  </si>
  <si>
    <t>Heather Rogers</t>
  </si>
  <si>
    <t>EMP0233</t>
  </si>
  <si>
    <t>Kyle Moore</t>
  </si>
  <si>
    <t>EMP0234</t>
  </si>
  <si>
    <t>Joseph Shea</t>
  </si>
  <si>
    <t>EMP0235</t>
  </si>
  <si>
    <t>Michele Martinez</t>
  </si>
  <si>
    <t>EMP0236</t>
  </si>
  <si>
    <t>Eric Myers</t>
  </si>
  <si>
    <t>EMP0237</t>
  </si>
  <si>
    <t>Timothy Lee</t>
  </si>
  <si>
    <t>EMP0238</t>
  </si>
  <si>
    <t>Donald Rodriguez</t>
  </si>
  <si>
    <t>EMP0239</t>
  </si>
  <si>
    <t>Jason Cooper MD</t>
  </si>
  <si>
    <t>EMP0240</t>
  </si>
  <si>
    <t>Randy Marquez PhD</t>
  </si>
  <si>
    <t>EMP0241</t>
  </si>
  <si>
    <t>Jamie Velasquez</t>
  </si>
  <si>
    <t>EMP0242</t>
  </si>
  <si>
    <t>Linda Morris</t>
  </si>
  <si>
    <t>EMP0243</t>
  </si>
  <si>
    <t>Natalie Jackson</t>
  </si>
  <si>
    <t>EMP0244</t>
  </si>
  <si>
    <t>Juan Johnson</t>
  </si>
  <si>
    <t>EMP0245</t>
  </si>
  <si>
    <t>Nicole Hammond</t>
  </si>
  <si>
    <t>EMP0246</t>
  </si>
  <si>
    <t>Adam Mcintyre</t>
  </si>
  <si>
    <t>EMP0247</t>
  </si>
  <si>
    <t>Courtney Fleming</t>
  </si>
  <si>
    <t>EMP0248</t>
  </si>
  <si>
    <t>Melissa Hill</t>
  </si>
  <si>
    <t>EMP0249</t>
  </si>
  <si>
    <t>EMP0250</t>
  </si>
  <si>
    <t>Jason Rice DVM</t>
  </si>
  <si>
    <t>EMP0251</t>
  </si>
  <si>
    <t>Katherine Schmidt</t>
  </si>
  <si>
    <t>EMP0252</t>
  </si>
  <si>
    <t>Justin Baxter</t>
  </si>
  <si>
    <t>EMP0253</t>
  </si>
  <si>
    <t>Rebecca Patton</t>
  </si>
  <si>
    <t>EMP0254</t>
  </si>
  <si>
    <t>Tiffany Hodges</t>
  </si>
  <si>
    <t>EMP0255</t>
  </si>
  <si>
    <t>Crystal Hart</t>
  </si>
  <si>
    <t>EMP0256</t>
  </si>
  <si>
    <t>Pamela Alvarez</t>
  </si>
  <si>
    <t>EMP0257</t>
  </si>
  <si>
    <t>Barry Caldwell</t>
  </si>
  <si>
    <t>EMP0258</t>
  </si>
  <si>
    <t>Megan Martin</t>
  </si>
  <si>
    <t>EMP0259</t>
  </si>
  <si>
    <t>Elizabeth Richardson</t>
  </si>
  <si>
    <t>EMP0260</t>
  </si>
  <si>
    <t>Michael Nelson</t>
  </si>
  <si>
    <t>EMP0261</t>
  </si>
  <si>
    <t>Christopher Moon</t>
  </si>
  <si>
    <t>EMP0262</t>
  </si>
  <si>
    <t>Laura Simpson</t>
  </si>
  <si>
    <t>EMP0263</t>
  </si>
  <si>
    <t>Jennifer Lee</t>
  </si>
  <si>
    <t>EMP0264</t>
  </si>
  <si>
    <t>Raymond Gonzalez</t>
  </si>
  <si>
    <t>EMP0265</t>
  </si>
  <si>
    <t>Debra Coleman</t>
  </si>
  <si>
    <t>EMP0266</t>
  </si>
  <si>
    <t>Mr. Kevin Gomez</t>
  </si>
  <si>
    <t>EMP0267</t>
  </si>
  <si>
    <t>Aaron Phillips</t>
  </si>
  <si>
    <t>EMP0268</t>
  </si>
  <si>
    <t>David Johnson</t>
  </si>
  <si>
    <t>EMP0269</t>
  </si>
  <si>
    <t>Sandra Hall</t>
  </si>
  <si>
    <t>EMP0270</t>
  </si>
  <si>
    <t>Julie Campbell</t>
  </si>
  <si>
    <t>EMP0271</t>
  </si>
  <si>
    <t>Brandon Raymond</t>
  </si>
  <si>
    <t>EMP0272</t>
  </si>
  <si>
    <t>Mr. Dustin Bridges</t>
  </si>
  <si>
    <t>EMP0273</t>
  </si>
  <si>
    <t>Dustin Jones</t>
  </si>
  <si>
    <t>EMP0274</t>
  </si>
  <si>
    <t>Jennifer Giles</t>
  </si>
  <si>
    <t>EMP0275</t>
  </si>
  <si>
    <t>Donald Glenn</t>
  </si>
  <si>
    <t>EMP0276</t>
  </si>
  <si>
    <t>Tim Flores</t>
  </si>
  <si>
    <t>EMP0277</t>
  </si>
  <si>
    <t>Sarah Wilson</t>
  </si>
  <si>
    <t>EMP0278</t>
  </si>
  <si>
    <t>Leah Foster</t>
  </si>
  <si>
    <t>EMP0279</t>
  </si>
  <si>
    <t>Bernard Myers</t>
  </si>
  <si>
    <t>EMP0280</t>
  </si>
  <si>
    <t>Margaret Chapman</t>
  </si>
  <si>
    <t>EMP0281</t>
  </si>
  <si>
    <t>Kevin Curry</t>
  </si>
  <si>
    <t>EMP0282</t>
  </si>
  <si>
    <t>Mallory Powell</t>
  </si>
  <si>
    <t>EMP0283</t>
  </si>
  <si>
    <t>Melissa Jordan</t>
  </si>
  <si>
    <t>EMP0284</t>
  </si>
  <si>
    <t>Tammy Zavala</t>
  </si>
  <si>
    <t>EMP0285</t>
  </si>
  <si>
    <t>Dominique Ferguson</t>
  </si>
  <si>
    <t>EMP0286</t>
  </si>
  <si>
    <t>Shannon Strickland</t>
  </si>
  <si>
    <t>EMP0287</t>
  </si>
  <si>
    <t>Jennifer Flores</t>
  </si>
  <si>
    <t>EMP0288</t>
  </si>
  <si>
    <t>Katherine Blevins PhD</t>
  </si>
  <si>
    <t>EMP0289</t>
  </si>
  <si>
    <t>Gregory Douglas</t>
  </si>
  <si>
    <t>EMP0290</t>
  </si>
  <si>
    <t>James Miranda</t>
  </si>
  <si>
    <t>EMP0291</t>
  </si>
  <si>
    <t>Frederick Lee</t>
  </si>
  <si>
    <t>EMP0292</t>
  </si>
  <si>
    <t>Valerie Johnson</t>
  </si>
  <si>
    <t>EMP0293</t>
  </si>
  <si>
    <t>John Wolf</t>
  </si>
  <si>
    <t>EMP0294</t>
  </si>
  <si>
    <t>Bryan Cowan</t>
  </si>
  <si>
    <t>EMP0295</t>
  </si>
  <si>
    <t>Jorge Mccullough</t>
  </si>
  <si>
    <t>EMP0296</t>
  </si>
  <si>
    <t>Nathaniel Franklin</t>
  </si>
  <si>
    <t>EMP0297</t>
  </si>
  <si>
    <t>Sean Snow</t>
  </si>
  <si>
    <t>EMP0298</t>
  </si>
  <si>
    <t>Kristen Romero</t>
  </si>
  <si>
    <t>EMP0299</t>
  </si>
  <si>
    <t>David Mcbride</t>
  </si>
  <si>
    <t>EMP0300</t>
  </si>
  <si>
    <t>Eric Mason</t>
  </si>
  <si>
    <t>EMP0301</t>
  </si>
  <si>
    <t>Vanessa Allen</t>
  </si>
  <si>
    <t>EMP0302</t>
  </si>
  <si>
    <t>Emily Griffin</t>
  </si>
  <si>
    <t>EMP0303</t>
  </si>
  <si>
    <t>Christopher Benjamin</t>
  </si>
  <si>
    <t>EMP0304</t>
  </si>
  <si>
    <t>Audrey Morrison</t>
  </si>
  <si>
    <t>EMP0305</t>
  </si>
  <si>
    <t>Richard Estrada</t>
  </si>
  <si>
    <t>EMP0306</t>
  </si>
  <si>
    <t>Melanie Marquez</t>
  </si>
  <si>
    <t>EMP0307</t>
  </si>
  <si>
    <t>Kristen Torres</t>
  </si>
  <si>
    <t>EMP0308</t>
  </si>
  <si>
    <t>John Williams</t>
  </si>
  <si>
    <t>EMP0309</t>
  </si>
  <si>
    <t>William Beltran</t>
  </si>
  <si>
    <t>EMP0310</t>
  </si>
  <si>
    <t>Angela Smith</t>
  </si>
  <si>
    <t>EMP0311</t>
  </si>
  <si>
    <t>Annette James</t>
  </si>
  <si>
    <t>EMP0312</t>
  </si>
  <si>
    <t>EMP0313</t>
  </si>
  <si>
    <t>Timothy Camacho</t>
  </si>
  <si>
    <t>EMP0314</t>
  </si>
  <si>
    <t>Angela Krueger</t>
  </si>
  <si>
    <t>EMP0315</t>
  </si>
  <si>
    <t>Wayne Dominguez</t>
  </si>
  <si>
    <t>EMP0316</t>
  </si>
  <si>
    <t>Holly Hurst</t>
  </si>
  <si>
    <t>EMP0317</t>
  </si>
  <si>
    <t>Jason Rice</t>
  </si>
  <si>
    <t>EMP0318</t>
  </si>
  <si>
    <t>Karen Smith</t>
  </si>
  <si>
    <t>EMP0319</t>
  </si>
  <si>
    <t>Mitchell Good</t>
  </si>
  <si>
    <t>EMP0320</t>
  </si>
  <si>
    <t>Katherine Vaughan</t>
  </si>
  <si>
    <t>EMP0321</t>
  </si>
  <si>
    <t>Christina Warren</t>
  </si>
  <si>
    <t>EMP0322</t>
  </si>
  <si>
    <t>Jeremy Weaver</t>
  </si>
  <si>
    <t>EMP0323</t>
  </si>
  <si>
    <t>Thomas Forbes</t>
  </si>
  <si>
    <t>EMP0324</t>
  </si>
  <si>
    <t>Sandy Martin</t>
  </si>
  <si>
    <t>EMP0325</t>
  </si>
  <si>
    <t>Jordan Roberts</t>
  </si>
  <si>
    <t>EMP0326</t>
  </si>
  <si>
    <t>Allison Mcintosh</t>
  </si>
  <si>
    <t>EMP0327</t>
  </si>
  <si>
    <t>Chelsea Coleman</t>
  </si>
  <si>
    <t>EMP0328</t>
  </si>
  <si>
    <t>Paul Barker</t>
  </si>
  <si>
    <t>EMP0329</t>
  </si>
  <si>
    <t>Karen Walker</t>
  </si>
  <si>
    <t>EMP0330</t>
  </si>
  <si>
    <t>Jeffrey Hill</t>
  </si>
  <si>
    <t>EMP0331</t>
  </si>
  <si>
    <t>Nicholas Peterson</t>
  </si>
  <si>
    <t>EMP0332</t>
  </si>
  <si>
    <t>Carolyn Hill</t>
  </si>
  <si>
    <t>EMP0333</t>
  </si>
  <si>
    <t>Taylor Martin</t>
  </si>
  <si>
    <t>EMP0334</t>
  </si>
  <si>
    <t>Brenda Robinson</t>
  </si>
  <si>
    <t>EMP0335</t>
  </si>
  <si>
    <t>Ariana Carroll</t>
  </si>
  <si>
    <t>EMP0336</t>
  </si>
  <si>
    <t>Nancy Lee DVM</t>
  </si>
  <si>
    <t>EMP0337</t>
  </si>
  <si>
    <t>Brianna Stanley</t>
  </si>
  <si>
    <t>EMP0338</t>
  </si>
  <si>
    <t>Jamie Crosby</t>
  </si>
  <si>
    <t>EMP0339</t>
  </si>
  <si>
    <t>Nicole Frank</t>
  </si>
  <si>
    <t>EMP0340</t>
  </si>
  <si>
    <t>Lauren Carney</t>
  </si>
  <si>
    <t>EMP0341</t>
  </si>
  <si>
    <t>Debra Cook</t>
  </si>
  <si>
    <t>EMP0342</t>
  </si>
  <si>
    <t>Jennifer Lopez</t>
  </si>
  <si>
    <t>EMP0343</t>
  </si>
  <si>
    <t>Debbie Thomas</t>
  </si>
  <si>
    <t>EMP0344</t>
  </si>
  <si>
    <t>Tyrone Lloyd</t>
  </si>
  <si>
    <t>EMP0345</t>
  </si>
  <si>
    <t>Wayne Simmons</t>
  </si>
  <si>
    <t>EMP0346</t>
  </si>
  <si>
    <t>Michael Houston</t>
  </si>
  <si>
    <t>EMP0347</t>
  </si>
  <si>
    <t>Antonio Payne</t>
  </si>
  <si>
    <t>EMP0348</t>
  </si>
  <si>
    <t>Terry Vang</t>
  </si>
  <si>
    <t>EMP0349</t>
  </si>
  <si>
    <t>Mary Padilla</t>
  </si>
  <si>
    <t>EMP0350</t>
  </si>
  <si>
    <t>Tabitha Carrillo</t>
  </si>
  <si>
    <t>EMP0351</t>
  </si>
  <si>
    <t>Peter Miller</t>
  </si>
  <si>
    <t>EMP0352</t>
  </si>
  <si>
    <t>Kelsey Moore</t>
  </si>
  <si>
    <t>EMP0353</t>
  </si>
  <si>
    <t>James Hill</t>
  </si>
  <si>
    <t>EMP0354</t>
  </si>
  <si>
    <t>Nathan Vasquez</t>
  </si>
  <si>
    <t>EMP0355</t>
  </si>
  <si>
    <t>Daniel Frazier</t>
  </si>
  <si>
    <t>EMP0356</t>
  </si>
  <si>
    <t>Julie Parks</t>
  </si>
  <si>
    <t>EMP0357</t>
  </si>
  <si>
    <t>Albert Obrien</t>
  </si>
  <si>
    <t>EMP0358</t>
  </si>
  <si>
    <t>Miguel Frey</t>
  </si>
  <si>
    <t>EMP0359</t>
  </si>
  <si>
    <t>Aimee Lopez</t>
  </si>
  <si>
    <t>EMP0360</t>
  </si>
  <si>
    <t>Jennifer Olsen</t>
  </si>
  <si>
    <t>EMP0361</t>
  </si>
  <si>
    <t>Carla Payne</t>
  </si>
  <si>
    <t>EMP0362</t>
  </si>
  <si>
    <t>EMP0363</t>
  </si>
  <si>
    <t>Erica Lawrence</t>
  </si>
  <si>
    <t>EMP0364</t>
  </si>
  <si>
    <t>Daniel Alvarez</t>
  </si>
  <si>
    <t>EMP0365</t>
  </si>
  <si>
    <t>Gregory Murphy</t>
  </si>
  <si>
    <t>EMP0366</t>
  </si>
  <si>
    <t>Scott Parker</t>
  </si>
  <si>
    <t>EMP0367</t>
  </si>
  <si>
    <t>Jeffrey Baker</t>
  </si>
  <si>
    <t>EMP0368</t>
  </si>
  <si>
    <t>Christopher Rodgers DDS</t>
  </si>
  <si>
    <t>EMP0369</t>
  </si>
  <si>
    <t>Carmen Richards</t>
  </si>
  <si>
    <t>EMP0370</t>
  </si>
  <si>
    <t>Sherry Hernandez</t>
  </si>
  <si>
    <t>EMP0371</t>
  </si>
  <si>
    <t>Shelley Pope</t>
  </si>
  <si>
    <t>EMP0372</t>
  </si>
  <si>
    <t>Mary Larson</t>
  </si>
  <si>
    <t>EMP0373</t>
  </si>
  <si>
    <t>John Shelton</t>
  </si>
  <si>
    <t>EMP0374</t>
  </si>
  <si>
    <t>Thomas Mora</t>
  </si>
  <si>
    <t>EMP0375</t>
  </si>
  <si>
    <t>Carlos Smith</t>
  </si>
  <si>
    <t>EMP0376</t>
  </si>
  <si>
    <t>Jessica Hall</t>
  </si>
  <si>
    <t>EMP0377</t>
  </si>
  <si>
    <t>Christina Lozano</t>
  </si>
  <si>
    <t>EMP0378</t>
  </si>
  <si>
    <t>Kimberly Avila</t>
  </si>
  <si>
    <t>EMP0379</t>
  </si>
  <si>
    <t>Donald Stewart</t>
  </si>
  <si>
    <t>EMP0380</t>
  </si>
  <si>
    <t>Eric Wise</t>
  </si>
  <si>
    <t>EMP0381</t>
  </si>
  <si>
    <t>Zachary Montoya</t>
  </si>
  <si>
    <t>EMP0382</t>
  </si>
  <si>
    <t>Christine Bautista</t>
  </si>
  <si>
    <t>EMP0383</t>
  </si>
  <si>
    <t>Gabrielle Parrish</t>
  </si>
  <si>
    <t>EMP0384</t>
  </si>
  <si>
    <t>Mark Martin</t>
  </si>
  <si>
    <t>EMP0385</t>
  </si>
  <si>
    <t>James Mcguire</t>
  </si>
  <si>
    <t>EMP0386</t>
  </si>
  <si>
    <t>Brian Baker</t>
  </si>
  <si>
    <t>EMP0387</t>
  </si>
  <si>
    <t>Ms. Kristie Cook</t>
  </si>
  <si>
    <t>EMP0388</t>
  </si>
  <si>
    <t>Derrick Arias</t>
  </si>
  <si>
    <t>EMP0389</t>
  </si>
  <si>
    <t>Robert Gillespie</t>
  </si>
  <si>
    <t>EMP0390</t>
  </si>
  <si>
    <t>Amber Gibbs</t>
  </si>
  <si>
    <t>EMP0391</t>
  </si>
  <si>
    <t>Anna Gillespie</t>
  </si>
  <si>
    <t>EMP0392</t>
  </si>
  <si>
    <t>Katelyn Reilly</t>
  </si>
  <si>
    <t>EMP0393</t>
  </si>
  <si>
    <t>Justin Williams</t>
  </si>
  <si>
    <t>EMP0394</t>
  </si>
  <si>
    <t>Amber Miller</t>
  </si>
  <si>
    <t>EMP0395</t>
  </si>
  <si>
    <t>Lawrence Washington</t>
  </si>
  <si>
    <t>EMP0396</t>
  </si>
  <si>
    <t>Sheila Brown</t>
  </si>
  <si>
    <t>EMP0397</t>
  </si>
  <si>
    <t>Chris Huffman PhD</t>
  </si>
  <si>
    <t>EMP0398</t>
  </si>
  <si>
    <t>Tammy Miller</t>
  </si>
  <si>
    <t>EMP0399</t>
  </si>
  <si>
    <t>Danielle Singh</t>
  </si>
  <si>
    <t>EMP0400</t>
  </si>
  <si>
    <t>Molly Hudson</t>
  </si>
  <si>
    <t>EMP0401</t>
  </si>
  <si>
    <t>Rick Schmitt</t>
  </si>
  <si>
    <t>EMP0402</t>
  </si>
  <si>
    <t>EMP0403</t>
  </si>
  <si>
    <t>Sheryl Williams</t>
  </si>
  <si>
    <t>EMP0404</t>
  </si>
  <si>
    <t>Courtney Griffin</t>
  </si>
  <si>
    <t>EMP0405</t>
  </si>
  <si>
    <t>Brandon Cox</t>
  </si>
  <si>
    <t>EMP0406</t>
  </si>
  <si>
    <t>Robert Gardner</t>
  </si>
  <si>
    <t>EMP0407</t>
  </si>
  <si>
    <t>Emily Jordan</t>
  </si>
  <si>
    <t>EMP0408</t>
  </si>
  <si>
    <t>Gilbert Moore</t>
  </si>
  <si>
    <t>EMP0409</t>
  </si>
  <si>
    <t>Sean Henry</t>
  </si>
  <si>
    <t>EMP0410</t>
  </si>
  <si>
    <t>Stephen Hunt</t>
  </si>
  <si>
    <t>EMP0411</t>
  </si>
  <si>
    <t>Kimberly Graves</t>
  </si>
  <si>
    <t>EMP0412</t>
  </si>
  <si>
    <t>Amanda Sampson</t>
  </si>
  <si>
    <t>EMP0413</t>
  </si>
  <si>
    <t>Danielle Cox</t>
  </si>
  <si>
    <t>EMP0414</t>
  </si>
  <si>
    <t>Kathryn Robbins</t>
  </si>
  <si>
    <t>EMP0415</t>
  </si>
  <si>
    <t>Amber Johnson</t>
  </si>
  <si>
    <t>EMP0416</t>
  </si>
  <si>
    <t>Maria Tran</t>
  </si>
  <si>
    <t>EMP0417</t>
  </si>
  <si>
    <t>Deanna Lawson</t>
  </si>
  <si>
    <t>EMP0418</t>
  </si>
  <si>
    <t>John Hines</t>
  </si>
  <si>
    <t>EMP0419</t>
  </si>
  <si>
    <t>David Byrd</t>
  </si>
  <si>
    <t>EMP0420</t>
  </si>
  <si>
    <t>Michaela Ponce</t>
  </si>
  <si>
    <t>EMP0421</t>
  </si>
  <si>
    <t>EMP0422</t>
  </si>
  <si>
    <t>Trevor Scott</t>
  </si>
  <si>
    <t>EMP0423</t>
  </si>
  <si>
    <t>Clinton Schneider</t>
  </si>
  <si>
    <t>EMP0424</t>
  </si>
  <si>
    <t>Krystal Turner</t>
  </si>
  <si>
    <t>EMP0425</t>
  </si>
  <si>
    <t>Susan Gutierrez</t>
  </si>
  <si>
    <t>EMP0426</t>
  </si>
  <si>
    <t>Heather Perez</t>
  </si>
  <si>
    <t>EMP0427</t>
  </si>
  <si>
    <t>Andre Gonzalez</t>
  </si>
  <si>
    <t>EMP0428</t>
  </si>
  <si>
    <t>Paul Mcdonald</t>
  </si>
  <si>
    <t>EMP0429</t>
  </si>
  <si>
    <t>Cheryl Wang</t>
  </si>
  <si>
    <t>EMP0430</t>
  </si>
  <si>
    <t>Jacob Vega</t>
  </si>
  <si>
    <t>EMP0431</t>
  </si>
  <si>
    <t>Kelly Morris</t>
  </si>
  <si>
    <t>EMP0432</t>
  </si>
  <si>
    <t>Pamela Hughes</t>
  </si>
  <si>
    <t>EMP0433</t>
  </si>
  <si>
    <t>Michelle Carr</t>
  </si>
  <si>
    <t>EMP0434</t>
  </si>
  <si>
    <t>Arthur Powell</t>
  </si>
  <si>
    <t>EMP0435</t>
  </si>
  <si>
    <t>Tracy Cuevas</t>
  </si>
  <si>
    <t>EMP0436</t>
  </si>
  <si>
    <t>Kaitlin Curtis</t>
  </si>
  <si>
    <t>EMP0437</t>
  </si>
  <si>
    <t>James Horton</t>
  </si>
  <si>
    <t>EMP0438</t>
  </si>
  <si>
    <t>Cynthia Brown</t>
  </si>
  <si>
    <t>EMP0439</t>
  </si>
  <si>
    <t>Trevor Bass</t>
  </si>
  <si>
    <t>EMP0440</t>
  </si>
  <si>
    <t>Samuel Johnson</t>
  </si>
  <si>
    <t>EMP0441</t>
  </si>
  <si>
    <t>Ryan Hunt</t>
  </si>
  <si>
    <t>EMP0442</t>
  </si>
  <si>
    <t>Amanda Green</t>
  </si>
  <si>
    <t>EMP0443</t>
  </si>
  <si>
    <t>Benjamin Hancock</t>
  </si>
  <si>
    <t>EMP0444</t>
  </si>
  <si>
    <t>Denise Vincent</t>
  </si>
  <si>
    <t>EMP0445</t>
  </si>
  <si>
    <t>Nicole Cox</t>
  </si>
  <si>
    <t>EMP0446</t>
  </si>
  <si>
    <t>John Perez</t>
  </si>
  <si>
    <t>EMP0447</t>
  </si>
  <si>
    <t>Bobby Williamson</t>
  </si>
  <si>
    <t>EMP0448</t>
  </si>
  <si>
    <t>Tracie Paul</t>
  </si>
  <si>
    <t>EMP0449</t>
  </si>
  <si>
    <t>Matthew Sandoval</t>
  </si>
  <si>
    <t>EMP0450</t>
  </si>
  <si>
    <t>Veronica Sanchez</t>
  </si>
  <si>
    <t>EMP0451</t>
  </si>
  <si>
    <t>William Price</t>
  </si>
  <si>
    <t>EMP0452</t>
  </si>
  <si>
    <t>Robert Wright</t>
  </si>
  <si>
    <t>EMP0453</t>
  </si>
  <si>
    <t>Susan Blake</t>
  </si>
  <si>
    <t>EMP0454</t>
  </si>
  <si>
    <t>John Gutierrez</t>
  </si>
  <si>
    <t>EMP0455</t>
  </si>
  <si>
    <t>Matthew Roberts</t>
  </si>
  <si>
    <t>EMP0456</t>
  </si>
  <si>
    <t>Ronald Sandoval</t>
  </si>
  <si>
    <t>EMP0457</t>
  </si>
  <si>
    <t>Anthony Ingram</t>
  </si>
  <si>
    <t>EMP0458</t>
  </si>
  <si>
    <t>Adam Lopez</t>
  </si>
  <si>
    <t>EMP0459</t>
  </si>
  <si>
    <t>Debra White</t>
  </si>
  <si>
    <t>EMP0460</t>
  </si>
  <si>
    <t>Monica Moody</t>
  </si>
  <si>
    <t>EMP0461</t>
  </si>
  <si>
    <t>Frank Jenkins</t>
  </si>
  <si>
    <t>EMP0462</t>
  </si>
  <si>
    <t>Nicole Smith</t>
  </si>
  <si>
    <t>EMP0463</t>
  </si>
  <si>
    <t>Gerald Diaz</t>
  </si>
  <si>
    <t>EMP0464</t>
  </si>
  <si>
    <t>Caitlin Cline</t>
  </si>
  <si>
    <t>EMP0465</t>
  </si>
  <si>
    <t>Jason Richards</t>
  </si>
  <si>
    <t>EMP0466</t>
  </si>
  <si>
    <t>Ryan Rojas</t>
  </si>
  <si>
    <t>EMP0467</t>
  </si>
  <si>
    <t>Shawn Pena</t>
  </si>
  <si>
    <t>EMP0468</t>
  </si>
  <si>
    <t>Charles Duncan</t>
  </si>
  <si>
    <t>EMP0469</t>
  </si>
  <si>
    <t>James Farmer</t>
  </si>
  <si>
    <t>EMP0470</t>
  </si>
  <si>
    <t>Makayla Smith</t>
  </si>
  <si>
    <t>EMP0471</t>
  </si>
  <si>
    <t>Candace Jones</t>
  </si>
  <si>
    <t>EMP0472</t>
  </si>
  <si>
    <t>Nicholas Quinn</t>
  </si>
  <si>
    <t>EMP0473</t>
  </si>
  <si>
    <t>Roy Cohen PhD</t>
  </si>
  <si>
    <t>EMP0474</t>
  </si>
  <si>
    <t>Jeremy Brown</t>
  </si>
  <si>
    <t>EMP0475</t>
  </si>
  <si>
    <t>Jay Silva</t>
  </si>
  <si>
    <t>EMP0476</t>
  </si>
  <si>
    <t>Nicole Crawford</t>
  </si>
  <si>
    <t>EMP0477</t>
  </si>
  <si>
    <t>Shawn Baker</t>
  </si>
  <si>
    <t>EMP0478</t>
  </si>
  <si>
    <t>Veronica Wilson</t>
  </si>
  <si>
    <t>EMP0479</t>
  </si>
  <si>
    <t>Michael Miller</t>
  </si>
  <si>
    <t>EMP0480</t>
  </si>
  <si>
    <t>Shannon Jackson</t>
  </si>
  <si>
    <t>EMP0481</t>
  </si>
  <si>
    <t>John Moore</t>
  </si>
  <si>
    <t>EMP0482</t>
  </si>
  <si>
    <t>Dean Adams</t>
  </si>
  <si>
    <t>EMP0483</t>
  </si>
  <si>
    <t>Michael Cohen</t>
  </si>
  <si>
    <t>EMP0484</t>
  </si>
  <si>
    <t>Jennifer Kelley</t>
  </si>
  <si>
    <t>EMP0485</t>
  </si>
  <si>
    <t>Thomas Riley</t>
  </si>
  <si>
    <t>EMP0486</t>
  </si>
  <si>
    <t>Daniel Armstrong</t>
  </si>
  <si>
    <t>EMP0487</t>
  </si>
  <si>
    <t>Isaac Watson</t>
  </si>
  <si>
    <t>EMP0488</t>
  </si>
  <si>
    <t>Richard Watson</t>
  </si>
  <si>
    <t>EMP0489</t>
  </si>
  <si>
    <t>Dawn Williams</t>
  </si>
  <si>
    <t>EMP0490</t>
  </si>
  <si>
    <t>Annette Stein</t>
  </si>
  <si>
    <t>EMP0491</t>
  </si>
  <si>
    <t>Eric Porter</t>
  </si>
  <si>
    <t>EMP0492</t>
  </si>
  <si>
    <t>Justin Rose</t>
  </si>
  <si>
    <t>EMP0493</t>
  </si>
  <si>
    <t>Matthew Rojas</t>
  </si>
  <si>
    <t>EMP0494</t>
  </si>
  <si>
    <t>Tamara Hernandez</t>
  </si>
  <si>
    <t>EMP0495</t>
  </si>
  <si>
    <t>Justin Webb</t>
  </si>
  <si>
    <t>EMP0496</t>
  </si>
  <si>
    <t>Robin Murphy</t>
  </si>
  <si>
    <t>EMP0497</t>
  </si>
  <si>
    <t>Kathy Burch</t>
  </si>
  <si>
    <t>EMP0498</t>
  </si>
  <si>
    <t>Ruben Black</t>
  </si>
  <si>
    <t>EMP0499</t>
  </si>
  <si>
    <t>Mr. David Moore DDS</t>
  </si>
  <si>
    <t>EMP0500</t>
  </si>
  <si>
    <t>Jessica Costa</t>
  </si>
  <si>
    <t>EMP0501</t>
  </si>
  <si>
    <t>Tricia Martin</t>
  </si>
  <si>
    <t>EMP0502</t>
  </si>
  <si>
    <t>Jeffrey Allison</t>
  </si>
  <si>
    <t>EMP0503</t>
  </si>
  <si>
    <t>Stephen Mercado</t>
  </si>
  <si>
    <t>EMP0504</t>
  </si>
  <si>
    <t>Angel Soto</t>
  </si>
  <si>
    <t>EMP0505</t>
  </si>
  <si>
    <t>Jessica Evans</t>
  </si>
  <si>
    <t>EMP0506</t>
  </si>
  <si>
    <t>Christine Wyatt MD</t>
  </si>
  <si>
    <t>EMP0507</t>
  </si>
  <si>
    <t>Anthony York</t>
  </si>
  <si>
    <t>EMP0508</t>
  </si>
  <si>
    <t>Tricia Hamilton</t>
  </si>
  <si>
    <t>EMP0509</t>
  </si>
  <si>
    <t>Selena Foster</t>
  </si>
  <si>
    <t>EMP0510</t>
  </si>
  <si>
    <t>Mr. Brendan Stone</t>
  </si>
  <si>
    <t>EMP0511</t>
  </si>
  <si>
    <t>Susan Keith</t>
  </si>
  <si>
    <t>EMP0512</t>
  </si>
  <si>
    <t>Beth Garcia</t>
  </si>
  <si>
    <t>EMP0513</t>
  </si>
  <si>
    <t>Nathaniel Morgan</t>
  </si>
  <si>
    <t>EMP0514</t>
  </si>
  <si>
    <t>Kyle Ponce</t>
  </si>
  <si>
    <t>EMP0515</t>
  </si>
  <si>
    <t>Lori Steele</t>
  </si>
  <si>
    <t>EMP0516</t>
  </si>
  <si>
    <t>Theresa Collins</t>
  </si>
  <si>
    <t>EMP0517</t>
  </si>
  <si>
    <t>Melissa Simpson</t>
  </si>
  <si>
    <t>EMP0518</t>
  </si>
  <si>
    <t>James Rodriguez</t>
  </si>
  <si>
    <t>EMP0519</t>
  </si>
  <si>
    <t>Roger Kent</t>
  </si>
  <si>
    <t>EMP0520</t>
  </si>
  <si>
    <t>Jack Gonzalez</t>
  </si>
  <si>
    <t>EMP0521</t>
  </si>
  <si>
    <t>Monica Singh</t>
  </si>
  <si>
    <t>EMP0522</t>
  </si>
  <si>
    <t>Bryce Stokes</t>
  </si>
  <si>
    <t>EMP0523</t>
  </si>
  <si>
    <t>Billy George</t>
  </si>
  <si>
    <t>EMP0524</t>
  </si>
  <si>
    <t>Yolanda Wall</t>
  </si>
  <si>
    <t>EMP0525</t>
  </si>
  <si>
    <t>Rebekah Robinson</t>
  </si>
  <si>
    <t>EMP0526</t>
  </si>
  <si>
    <t>Carrie Jimenez</t>
  </si>
  <si>
    <t>EMP0527</t>
  </si>
  <si>
    <t>Chelsea Dunn</t>
  </si>
  <si>
    <t>EMP0528</t>
  </si>
  <si>
    <t>James Adams</t>
  </si>
  <si>
    <t>EMP0529</t>
  </si>
  <si>
    <t>Kevin Marquez</t>
  </si>
  <si>
    <t>EMP0530</t>
  </si>
  <si>
    <t>Sarah Weaver</t>
  </si>
  <si>
    <t>EMP0531</t>
  </si>
  <si>
    <t>Steven Cross</t>
  </si>
  <si>
    <t>EMP0532</t>
  </si>
  <si>
    <t>Michael Yu</t>
  </si>
  <si>
    <t>EMP0533</t>
  </si>
  <si>
    <t>John Roy</t>
  </si>
  <si>
    <t>EMP0534</t>
  </si>
  <si>
    <t>Gabrielle Martinez</t>
  </si>
  <si>
    <t>EMP0535</t>
  </si>
  <si>
    <t>Kimberly Fernandez</t>
  </si>
  <si>
    <t>EMP0536</t>
  </si>
  <si>
    <t>Diana Hernandez</t>
  </si>
  <si>
    <t>EMP0537</t>
  </si>
  <si>
    <t>Benjamin Olson</t>
  </si>
  <si>
    <t>EMP0538</t>
  </si>
  <si>
    <t>Heather Nash</t>
  </si>
  <si>
    <t>EMP0539</t>
  </si>
  <si>
    <t>Kristen Johnson</t>
  </si>
  <si>
    <t>EMP0540</t>
  </si>
  <si>
    <t>Carrie Byrd</t>
  </si>
  <si>
    <t>EMP0541</t>
  </si>
  <si>
    <t>Fred Moore</t>
  </si>
  <si>
    <t>EMP0542</t>
  </si>
  <si>
    <t>Jennifer Miller</t>
  </si>
  <si>
    <t>EMP0543</t>
  </si>
  <si>
    <t>Christopher Mills</t>
  </si>
  <si>
    <t>EMP0544</t>
  </si>
  <si>
    <t>Dawn Robinson</t>
  </si>
  <si>
    <t>EMP0545</t>
  </si>
  <si>
    <t>Kyle Chapman</t>
  </si>
  <si>
    <t>EMP0546</t>
  </si>
  <si>
    <t>Joseph Harrell</t>
  </si>
  <si>
    <t>EMP0547</t>
  </si>
  <si>
    <t>Ray Nielsen</t>
  </si>
  <si>
    <t>EMP0548</t>
  </si>
  <si>
    <t>Jordan Martinez</t>
  </si>
  <si>
    <t>EMP0549</t>
  </si>
  <si>
    <t>William Olson</t>
  </si>
  <si>
    <t>EMP0550</t>
  </si>
  <si>
    <t>Lance Foster</t>
  </si>
  <si>
    <t>EMP0551</t>
  </si>
  <si>
    <t>Ariel Short</t>
  </si>
  <si>
    <t>EMP0552</t>
  </si>
  <si>
    <t>Christine Williams</t>
  </si>
  <si>
    <t>EMP0553</t>
  </si>
  <si>
    <t>Samantha Marshall</t>
  </si>
  <si>
    <t>EMP0554</t>
  </si>
  <si>
    <t>Megan Reed</t>
  </si>
  <si>
    <t>EMP0555</t>
  </si>
  <si>
    <t>Andre Sutton</t>
  </si>
  <si>
    <t>EMP0556</t>
  </si>
  <si>
    <t>Megan Garcia</t>
  </si>
  <si>
    <t>EMP0557</t>
  </si>
  <si>
    <t>Charles Parker</t>
  </si>
  <si>
    <t>EMP0558</t>
  </si>
  <si>
    <t>Robert Bell</t>
  </si>
  <si>
    <t>EMP0559</t>
  </si>
  <si>
    <t>Bradley Barton</t>
  </si>
  <si>
    <t>EMP0560</t>
  </si>
  <si>
    <t>Carlos Rodriguez</t>
  </si>
  <si>
    <t>EMP0561</t>
  </si>
  <si>
    <t>Rebecca Campbell</t>
  </si>
  <si>
    <t>EMP0562</t>
  </si>
  <si>
    <t>Andrew Kelly</t>
  </si>
  <si>
    <t>EMP0563</t>
  </si>
  <si>
    <t>Noah Moore</t>
  </si>
  <si>
    <t>EMP0564</t>
  </si>
  <si>
    <t>Gail Fletcher</t>
  </si>
  <si>
    <t>EMP0565</t>
  </si>
  <si>
    <t>Jenna Williams</t>
  </si>
  <si>
    <t>EMP0566</t>
  </si>
  <si>
    <t>Aaron Jones</t>
  </si>
  <si>
    <t>EMP0567</t>
  </si>
  <si>
    <t>Holly Kramer</t>
  </si>
  <si>
    <t>EMP0568</t>
  </si>
  <si>
    <t>Marvin Henderson Jr.</t>
  </si>
  <si>
    <t>EMP0569</t>
  </si>
  <si>
    <t>Jessica Wiley</t>
  </si>
  <si>
    <t>EMP0570</t>
  </si>
  <si>
    <t>Ryan Moran</t>
  </si>
  <si>
    <t>EMP0571</t>
  </si>
  <si>
    <t>Taylor Whitaker</t>
  </si>
  <si>
    <t>EMP0572</t>
  </si>
  <si>
    <t>Kevin Baker</t>
  </si>
  <si>
    <t>EMP0573</t>
  </si>
  <si>
    <t>Jordan Gibson</t>
  </si>
  <si>
    <t>EMP0574</t>
  </si>
  <si>
    <t>Kathryn Knight</t>
  </si>
  <si>
    <t>EMP0575</t>
  </si>
  <si>
    <t>Mr. Noah Adams PhD</t>
  </si>
  <si>
    <t>EMP0576</t>
  </si>
  <si>
    <t>Peter Fisher</t>
  </si>
  <si>
    <t>EMP0577</t>
  </si>
  <si>
    <t>Kenneth Henson</t>
  </si>
  <si>
    <t>EMP0578</t>
  </si>
  <si>
    <t>Susan Snyder</t>
  </si>
  <si>
    <t>EMP0579</t>
  </si>
  <si>
    <t>Jennifer Wheeler</t>
  </si>
  <si>
    <t>EMP0580</t>
  </si>
  <si>
    <t>Scott Barton</t>
  </si>
  <si>
    <t>EMP0581</t>
  </si>
  <si>
    <t>Cynthia Bennett</t>
  </si>
  <si>
    <t>EMP0582</t>
  </si>
  <si>
    <t>Meghan Phelps</t>
  </si>
  <si>
    <t>EMP0583</t>
  </si>
  <si>
    <t>Ronald Mccann</t>
  </si>
  <si>
    <t>EMP0584</t>
  </si>
  <si>
    <t>Cristina Carter</t>
  </si>
  <si>
    <t>EMP0585</t>
  </si>
  <si>
    <t>Glenn Simpson</t>
  </si>
  <si>
    <t>EMP0586</t>
  </si>
  <si>
    <t>Arthur Colon</t>
  </si>
  <si>
    <t>EMP0587</t>
  </si>
  <si>
    <t>John Hart</t>
  </si>
  <si>
    <t>EMP0588</t>
  </si>
  <si>
    <t>Erica Lewis</t>
  </si>
  <si>
    <t>EMP0589</t>
  </si>
  <si>
    <t>EMP0590</t>
  </si>
  <si>
    <t>Clayton Duke</t>
  </si>
  <si>
    <t>EMP0591</t>
  </si>
  <si>
    <t>Sarah Rodgers</t>
  </si>
  <si>
    <t>EMP0592</t>
  </si>
  <si>
    <t>Mr. Ryan Andrade</t>
  </si>
  <si>
    <t>EMP0593</t>
  </si>
  <si>
    <t>Amber Pierce</t>
  </si>
  <si>
    <t>EMP0594</t>
  </si>
  <si>
    <t>Breanna Perkins</t>
  </si>
  <si>
    <t>EMP0595</t>
  </si>
  <si>
    <t>Angela Mclean</t>
  </si>
  <si>
    <t>EMP0596</t>
  </si>
  <si>
    <t>Michelle Adams MD</t>
  </si>
  <si>
    <t>EMP0597</t>
  </si>
  <si>
    <t>Frank Rodriguez</t>
  </si>
  <si>
    <t>EMP0598</t>
  </si>
  <si>
    <t>Arthur Caldwell</t>
  </si>
  <si>
    <t>EMP0599</t>
  </si>
  <si>
    <t>Lori Mueller</t>
  </si>
  <si>
    <t>EMP0600</t>
  </si>
  <si>
    <t>John Fleming</t>
  </si>
  <si>
    <t>EMP0601</t>
  </si>
  <si>
    <t>Dr. Brian Cole</t>
  </si>
  <si>
    <t>EMP0602</t>
  </si>
  <si>
    <t>John Flores</t>
  </si>
  <si>
    <t>EMP0603</t>
  </si>
  <si>
    <t>Kyle Hinton</t>
  </si>
  <si>
    <t>EMP0604</t>
  </si>
  <si>
    <t>Cassandra Hunt</t>
  </si>
  <si>
    <t>EMP0605</t>
  </si>
  <si>
    <t>Mr. Robert Dean DDS</t>
  </si>
  <si>
    <t>EMP0606</t>
  </si>
  <si>
    <t>Bryan James</t>
  </si>
  <si>
    <t>EMP0607</t>
  </si>
  <si>
    <t>Bruce Lane</t>
  </si>
  <si>
    <t>EMP0608</t>
  </si>
  <si>
    <t>David Anderson</t>
  </si>
  <si>
    <t>EMP0609</t>
  </si>
  <si>
    <t>Noah Clark</t>
  </si>
  <si>
    <t>EMP0610</t>
  </si>
  <si>
    <t>Sandra Rojas</t>
  </si>
  <si>
    <t>EMP0611</t>
  </si>
  <si>
    <t>Colton Fisher</t>
  </si>
  <si>
    <t>EMP0612</t>
  </si>
  <si>
    <t>Tonya Ross</t>
  </si>
  <si>
    <t>EMP0613</t>
  </si>
  <si>
    <t>Christian Vasquez</t>
  </si>
  <si>
    <t>EMP0614</t>
  </si>
  <si>
    <t>Valerie Shepard</t>
  </si>
  <si>
    <t>EMP0615</t>
  </si>
  <si>
    <t>Marvin Jacobson</t>
  </si>
  <si>
    <t>EMP0616</t>
  </si>
  <si>
    <t>Alyssa Vasquez</t>
  </si>
  <si>
    <t>EMP0617</t>
  </si>
  <si>
    <t>Alison Villegas</t>
  </si>
  <si>
    <t>EMP0618</t>
  </si>
  <si>
    <t>Stephen Thompson</t>
  </si>
  <si>
    <t>EMP0619</t>
  </si>
  <si>
    <t>Daniel Sanchez</t>
  </si>
  <si>
    <t>EMP0620</t>
  </si>
  <si>
    <t>Lauren Collins</t>
  </si>
  <si>
    <t>EMP0621</t>
  </si>
  <si>
    <t>Scott Davis</t>
  </si>
  <si>
    <t>EMP0622</t>
  </si>
  <si>
    <t>Isaiah Pace</t>
  </si>
  <si>
    <t>EMP0623</t>
  </si>
  <si>
    <t>Tyler Davis</t>
  </si>
  <si>
    <t>EMP0624</t>
  </si>
  <si>
    <t>Dr. Michele Mendoza</t>
  </si>
  <si>
    <t>EMP0625</t>
  </si>
  <si>
    <t>Ruth Jones</t>
  </si>
  <si>
    <t>EMP0626</t>
  </si>
  <si>
    <t>Jennifer Thomas</t>
  </si>
  <si>
    <t>EMP0627</t>
  </si>
  <si>
    <t>Brandon Barnes</t>
  </si>
  <si>
    <t>EMP0628</t>
  </si>
  <si>
    <t>Jose Gutierrez</t>
  </si>
  <si>
    <t>EMP0629</t>
  </si>
  <si>
    <t>David Briggs</t>
  </si>
  <si>
    <t>EMP0630</t>
  </si>
  <si>
    <t>Jessica Hill</t>
  </si>
  <si>
    <t>EMP0631</t>
  </si>
  <si>
    <t>John Villegas</t>
  </si>
  <si>
    <t>EMP0632</t>
  </si>
  <si>
    <t>Justin Neal</t>
  </si>
  <si>
    <t>EMP0633</t>
  </si>
  <si>
    <t>Melissa Horn</t>
  </si>
  <si>
    <t>EMP0634</t>
  </si>
  <si>
    <t>Hector Sullivan</t>
  </si>
  <si>
    <t>EMP0635</t>
  </si>
  <si>
    <t>Devin Gonzales</t>
  </si>
  <si>
    <t>EMP0636</t>
  </si>
  <si>
    <t>Henry Carter</t>
  </si>
  <si>
    <t>EMP0637</t>
  </si>
  <si>
    <t>Kelly Bell</t>
  </si>
  <si>
    <t>EMP0638</t>
  </si>
  <si>
    <t>Brittney Caldwell</t>
  </si>
  <si>
    <t>EMP0639</t>
  </si>
  <si>
    <t>Allison Mccullough DDS</t>
  </si>
  <si>
    <t>EMP0640</t>
  </si>
  <si>
    <t>Rachael Smith</t>
  </si>
  <si>
    <t>EMP0641</t>
  </si>
  <si>
    <t>Natalie Ramsey</t>
  </si>
  <si>
    <t>EMP0642</t>
  </si>
  <si>
    <t>Mr. Cameron Jones Jr.</t>
  </si>
  <si>
    <t>EMP0643</t>
  </si>
  <si>
    <t>Kevin Parrish</t>
  </si>
  <si>
    <t>EMP0644</t>
  </si>
  <si>
    <t>Maria Brewer</t>
  </si>
  <si>
    <t>EMP0645</t>
  </si>
  <si>
    <t>Kathryn Mendoza</t>
  </si>
  <si>
    <t>EMP0646</t>
  </si>
  <si>
    <t>Jonathon Faulkner</t>
  </si>
  <si>
    <t>EMP0647</t>
  </si>
  <si>
    <t>Alicia Potter</t>
  </si>
  <si>
    <t>EMP0648</t>
  </si>
  <si>
    <t>Jennifer Sanchez</t>
  </si>
  <si>
    <t>EMP0649</t>
  </si>
  <si>
    <t>Joseph Ryan</t>
  </si>
  <si>
    <t>EMP0650</t>
  </si>
  <si>
    <t>Richard Rodriguez</t>
  </si>
  <si>
    <t>EMP0651</t>
  </si>
  <si>
    <t>Melissa Montoya</t>
  </si>
  <si>
    <t>EMP0652</t>
  </si>
  <si>
    <t>EMP0653</t>
  </si>
  <si>
    <t>Kerry Blevins</t>
  </si>
  <si>
    <t>EMP0654</t>
  </si>
  <si>
    <t>Anthony Mccullough</t>
  </si>
  <si>
    <t>EMP0655</t>
  </si>
  <si>
    <t>Stephanie Shepherd</t>
  </si>
  <si>
    <t>EMP0656</t>
  </si>
  <si>
    <t>Brian Bender</t>
  </si>
  <si>
    <t>EMP0657</t>
  </si>
  <si>
    <t>Roberto Small</t>
  </si>
  <si>
    <t>EMP0658</t>
  </si>
  <si>
    <t>Robert Knight</t>
  </si>
  <si>
    <t>EMP0659</t>
  </si>
  <si>
    <t>Dustin Maddox</t>
  </si>
  <si>
    <t>EMP0660</t>
  </si>
  <si>
    <t>Shelley Griffith</t>
  </si>
  <si>
    <t>EMP0661</t>
  </si>
  <si>
    <t>Brent Clark</t>
  </si>
  <si>
    <t>EMP0662</t>
  </si>
  <si>
    <t>Edward Burns</t>
  </si>
  <si>
    <t>EMP0663</t>
  </si>
  <si>
    <t>Anna Campbell</t>
  </si>
  <si>
    <t>EMP0664</t>
  </si>
  <si>
    <t>Lauren Martinez</t>
  </si>
  <si>
    <t>EMP0665</t>
  </si>
  <si>
    <t>Heather Mitchell</t>
  </si>
  <si>
    <t>EMP0666</t>
  </si>
  <si>
    <t>Jeffrey Smith</t>
  </si>
  <si>
    <t>EMP0667</t>
  </si>
  <si>
    <t>Andrew Allen</t>
  </si>
  <si>
    <t>EMP0668</t>
  </si>
  <si>
    <t>Steven Brown</t>
  </si>
  <si>
    <t>EMP0669</t>
  </si>
  <si>
    <t>Melissa Lawrence DDS</t>
  </si>
  <si>
    <t>EMP0670</t>
  </si>
  <si>
    <t>Aaron Vasquez</t>
  </si>
  <si>
    <t>EMP0671</t>
  </si>
  <si>
    <t>Kelly Campbell</t>
  </si>
  <si>
    <t>EMP0672</t>
  </si>
  <si>
    <t>Robert Morgan</t>
  </si>
  <si>
    <t>EMP0673</t>
  </si>
  <si>
    <t>David Larson</t>
  </si>
  <si>
    <t>EMP0674</t>
  </si>
  <si>
    <t>Kristy Hoffman</t>
  </si>
  <si>
    <t>EMP0675</t>
  </si>
  <si>
    <t>Max Garcia</t>
  </si>
  <si>
    <t>EMP0676</t>
  </si>
  <si>
    <t>Stacey Frazier</t>
  </si>
  <si>
    <t>EMP0677</t>
  </si>
  <si>
    <t>Latoya Martin</t>
  </si>
  <si>
    <t>EMP0678</t>
  </si>
  <si>
    <t>Karina Salas</t>
  </si>
  <si>
    <t>EMP0679</t>
  </si>
  <si>
    <t>Robert Byrd</t>
  </si>
  <si>
    <t>EMP0680</t>
  </si>
  <si>
    <t>Emma Montoya</t>
  </si>
  <si>
    <t>EMP0681</t>
  </si>
  <si>
    <t>Joann Hardy</t>
  </si>
  <si>
    <t>EMP0682</t>
  </si>
  <si>
    <t>Ryan Welch</t>
  </si>
  <si>
    <t>EMP0683</t>
  </si>
  <si>
    <t>Brett Pace</t>
  </si>
  <si>
    <t>EMP0684</t>
  </si>
  <si>
    <t>EMP0685</t>
  </si>
  <si>
    <t>Steven Gray</t>
  </si>
  <si>
    <t>EMP0686</t>
  </si>
  <si>
    <t>Ryan Curry</t>
  </si>
  <si>
    <t>EMP0687</t>
  </si>
  <si>
    <t>Penny Smith</t>
  </si>
  <si>
    <t>EMP0688</t>
  </si>
  <si>
    <t>Dana Horton</t>
  </si>
  <si>
    <t>EMP0689</t>
  </si>
  <si>
    <t>Christy Shelton</t>
  </si>
  <si>
    <t>EMP0690</t>
  </si>
  <si>
    <t>Kevin Castaneda</t>
  </si>
  <si>
    <t>EMP0691</t>
  </si>
  <si>
    <t>Olivia Hughes</t>
  </si>
  <si>
    <t>EMP0692</t>
  </si>
  <si>
    <t>Shelley Woodward</t>
  </si>
  <si>
    <t>EMP0693</t>
  </si>
  <si>
    <t>Dominic Tanner</t>
  </si>
  <si>
    <t>EMP0694</t>
  </si>
  <si>
    <t>Christopher Wilson</t>
  </si>
  <si>
    <t>EMP0695</t>
  </si>
  <si>
    <t>Allison Farmer</t>
  </si>
  <si>
    <t>EMP0696</t>
  </si>
  <si>
    <t>David Hunter</t>
  </si>
  <si>
    <t>EMP0697</t>
  </si>
  <si>
    <t>Jonathan Sloan</t>
  </si>
  <si>
    <t>EMP0698</t>
  </si>
  <si>
    <t>Harold Johnson</t>
  </si>
  <si>
    <t>EMP0699</t>
  </si>
  <si>
    <t>Monique Williams</t>
  </si>
  <si>
    <t>EMP0700</t>
  </si>
  <si>
    <t>Trevor Le</t>
  </si>
  <si>
    <t>EMP0701</t>
  </si>
  <si>
    <t>Nicole Boyd</t>
  </si>
  <si>
    <t>EMP0702</t>
  </si>
  <si>
    <t>Brian George</t>
  </si>
  <si>
    <t>EMP0703</t>
  </si>
  <si>
    <t>Deanna Velasquez</t>
  </si>
  <si>
    <t>EMP0704</t>
  </si>
  <si>
    <t>Brittany Armstrong</t>
  </si>
  <si>
    <t>EMP0705</t>
  </si>
  <si>
    <t>John Wang</t>
  </si>
  <si>
    <t>EMP0706</t>
  </si>
  <si>
    <t>Michael Taylor</t>
  </si>
  <si>
    <t>EMP0707</t>
  </si>
  <si>
    <t>Kimberly Heath MD</t>
  </si>
  <si>
    <t>EMP0708</t>
  </si>
  <si>
    <t>Donald Walker</t>
  </si>
  <si>
    <t>EMP0709</t>
  </si>
  <si>
    <t>Lisa Warren</t>
  </si>
  <si>
    <t>EMP0710</t>
  </si>
  <si>
    <t>Richard Anderson</t>
  </si>
  <si>
    <t>EMP0711</t>
  </si>
  <si>
    <t>Anthony Wilson</t>
  </si>
  <si>
    <t>EMP0712</t>
  </si>
  <si>
    <t>David Leonard</t>
  </si>
  <si>
    <t>EMP0713</t>
  </si>
  <si>
    <t>Samantha Schwartz</t>
  </si>
  <si>
    <t>EMP0714</t>
  </si>
  <si>
    <t>Leroy Cummings</t>
  </si>
  <si>
    <t>EMP0715</t>
  </si>
  <si>
    <t>Terry Sosa</t>
  </si>
  <si>
    <t>EMP0716</t>
  </si>
  <si>
    <t>Devin Davis</t>
  </si>
  <si>
    <t>EMP0717</t>
  </si>
  <si>
    <t>Michael Wong</t>
  </si>
  <si>
    <t>EMP0718</t>
  </si>
  <si>
    <t>Katie Curtis</t>
  </si>
  <si>
    <t>EMP0719</t>
  </si>
  <si>
    <t>Micheal Stanton</t>
  </si>
  <si>
    <t>EMP0720</t>
  </si>
  <si>
    <t>William Crawford</t>
  </si>
  <si>
    <t>EMP0721</t>
  </si>
  <si>
    <t>Taylor Rubio</t>
  </si>
  <si>
    <t>EMP0722</t>
  </si>
  <si>
    <t>Mrs. Jasmine Rios</t>
  </si>
  <si>
    <t>EMP0723</t>
  </si>
  <si>
    <t>EMP0724</t>
  </si>
  <si>
    <t>Natasha Peterson</t>
  </si>
  <si>
    <t>EMP0725</t>
  </si>
  <si>
    <t>Kyle Russell</t>
  </si>
  <si>
    <t>EMP0726</t>
  </si>
  <si>
    <t>Amanda Singh</t>
  </si>
  <si>
    <t>EMP0727</t>
  </si>
  <si>
    <t>Nancy Smith</t>
  </si>
  <si>
    <t>EMP0728</t>
  </si>
  <si>
    <t>Ryan Bowman</t>
  </si>
  <si>
    <t>EMP0729</t>
  </si>
  <si>
    <t>Thomas Rodgers</t>
  </si>
  <si>
    <t>EMP0730</t>
  </si>
  <si>
    <t>Roger Williams</t>
  </si>
  <si>
    <t>EMP0731</t>
  </si>
  <si>
    <t>Debra Hansen</t>
  </si>
  <si>
    <t>EMP0732</t>
  </si>
  <si>
    <t>Linda Myers</t>
  </si>
  <si>
    <t>EMP0733</t>
  </si>
  <si>
    <t>Nathaniel Anderson</t>
  </si>
  <si>
    <t>EMP0734</t>
  </si>
  <si>
    <t>Debra Hill</t>
  </si>
  <si>
    <t>EMP0735</t>
  </si>
  <si>
    <t>Jose Williams</t>
  </si>
  <si>
    <t>EMP0736</t>
  </si>
  <si>
    <t>Martin Mccarthy</t>
  </si>
  <si>
    <t>EMP0737</t>
  </si>
  <si>
    <t>Vicki Vaughan</t>
  </si>
  <si>
    <t>EMP0738</t>
  </si>
  <si>
    <t>Philip Shannon</t>
  </si>
  <si>
    <t>EMP0739</t>
  </si>
  <si>
    <t>Anthony Vasquez</t>
  </si>
  <si>
    <t>EMP0740</t>
  </si>
  <si>
    <t>Cory Sheppard</t>
  </si>
  <si>
    <t>EMP0741</t>
  </si>
  <si>
    <t>EMP0742</t>
  </si>
  <si>
    <t>Nancy James</t>
  </si>
  <si>
    <t>EMP0743</t>
  </si>
  <si>
    <t>Keith Mcdowell</t>
  </si>
  <si>
    <t>EMP0744</t>
  </si>
  <si>
    <t>James Dixon</t>
  </si>
  <si>
    <t>EMP0745</t>
  </si>
  <si>
    <t>Heather Franklin</t>
  </si>
  <si>
    <t>EMP0746</t>
  </si>
  <si>
    <t>Tiffany Ward</t>
  </si>
  <si>
    <t>EMP0747</t>
  </si>
  <si>
    <t>Dillon Anderson</t>
  </si>
  <si>
    <t>EMP0748</t>
  </si>
  <si>
    <t>Emily Brown</t>
  </si>
  <si>
    <t>EMP0749</t>
  </si>
  <si>
    <t>Vanessa Dunn</t>
  </si>
  <si>
    <t>EMP0750</t>
  </si>
  <si>
    <t>Richard Martinez</t>
  </si>
  <si>
    <t>EMP0751</t>
  </si>
  <si>
    <t>Richard Wilson</t>
  </si>
  <si>
    <t>EMP0752</t>
  </si>
  <si>
    <t>Rhonda Taylor</t>
  </si>
  <si>
    <t>EMP0753</t>
  </si>
  <si>
    <t>Jason Rowe MD</t>
  </si>
  <si>
    <t>EMP0754</t>
  </si>
  <si>
    <t>Mark Rodriguez</t>
  </si>
  <si>
    <t>EMP0755</t>
  </si>
  <si>
    <t>Misty Gregory</t>
  </si>
  <si>
    <t>EMP0756</t>
  </si>
  <si>
    <t>Edward Smith</t>
  </si>
  <si>
    <t>EMP0757</t>
  </si>
  <si>
    <t>Joshua Lee</t>
  </si>
  <si>
    <t>EMP0758</t>
  </si>
  <si>
    <t>Susan Rivera</t>
  </si>
  <si>
    <t>EMP0759</t>
  </si>
  <si>
    <t>Shannon King</t>
  </si>
  <si>
    <t>EMP0760</t>
  </si>
  <si>
    <t>Karen Travis</t>
  </si>
  <si>
    <t>EMP0761</t>
  </si>
  <si>
    <t>Joyce Pace</t>
  </si>
  <si>
    <t>EMP0762</t>
  </si>
  <si>
    <t>Jeffrey Rice</t>
  </si>
  <si>
    <t>EMP0763</t>
  </si>
  <si>
    <t>Lori Richardson</t>
  </si>
  <si>
    <t>EMP0764</t>
  </si>
  <si>
    <t>Alexandria Williams</t>
  </si>
  <si>
    <t>EMP0765</t>
  </si>
  <si>
    <t>Jerry Weaver</t>
  </si>
  <si>
    <t>EMP0766</t>
  </si>
  <si>
    <t>Tara Wilson</t>
  </si>
  <si>
    <t>EMP0767</t>
  </si>
  <si>
    <t>Matthew Cox</t>
  </si>
  <si>
    <t>EMP0768</t>
  </si>
  <si>
    <t>Amber Hunt</t>
  </si>
  <si>
    <t>EMP0769</t>
  </si>
  <si>
    <t>Claire Griffin</t>
  </si>
  <si>
    <t>EMP0770</t>
  </si>
  <si>
    <t>Richard Simon</t>
  </si>
  <si>
    <t>EMP0771</t>
  </si>
  <si>
    <t>Tammy Lawrence</t>
  </si>
  <si>
    <t>EMP0772</t>
  </si>
  <si>
    <t>Paul Shaw</t>
  </si>
  <si>
    <t>EMP0773</t>
  </si>
  <si>
    <t>Robert Walker</t>
  </si>
  <si>
    <t>EMP0774</t>
  </si>
  <si>
    <t>Carolyn Mendez</t>
  </si>
  <si>
    <t>EMP0775</t>
  </si>
  <si>
    <t>Kimberly Mosley</t>
  </si>
  <si>
    <t>EMP0776</t>
  </si>
  <si>
    <t>EMP0777</t>
  </si>
  <si>
    <t>James Solis</t>
  </si>
  <si>
    <t>EMP0778</t>
  </si>
  <si>
    <t>Stephen Walker</t>
  </si>
  <si>
    <t>EMP0779</t>
  </si>
  <si>
    <t>Karen Reyes</t>
  </si>
  <si>
    <t>EMP0780</t>
  </si>
  <si>
    <t>Katie Smith</t>
  </si>
  <si>
    <t>EMP0781</t>
  </si>
  <si>
    <t>John Durham</t>
  </si>
  <si>
    <t>EMP0782</t>
  </si>
  <si>
    <t>Dr. Jesse Sanchez</t>
  </si>
  <si>
    <t>EMP0783</t>
  </si>
  <si>
    <t>Brian Clay</t>
  </si>
  <si>
    <t>EMP0784</t>
  </si>
  <si>
    <t>Crystal Martin</t>
  </si>
  <si>
    <t>EMP0785</t>
  </si>
  <si>
    <t>Tammy Oconnor</t>
  </si>
  <si>
    <t>EMP0786</t>
  </si>
  <si>
    <t>Alexander Jones</t>
  </si>
  <si>
    <t>EMP0787</t>
  </si>
  <si>
    <t>Thomas Mcdonald</t>
  </si>
  <si>
    <t>EMP0788</t>
  </si>
  <si>
    <t>Jason Davis</t>
  </si>
  <si>
    <t>EMP0789</t>
  </si>
  <si>
    <t>Mr. Donald Martinez</t>
  </si>
  <si>
    <t>EMP0790</t>
  </si>
  <si>
    <t>Bruce Lewis</t>
  </si>
  <si>
    <t>EMP0791</t>
  </si>
  <si>
    <t>Nichole Cohen</t>
  </si>
  <si>
    <t>EMP0792</t>
  </si>
  <si>
    <t>Dr. Bailey Campos</t>
  </si>
  <si>
    <t>EMP0793</t>
  </si>
  <si>
    <t>Sarah Turner</t>
  </si>
  <si>
    <t>EMP0794</t>
  </si>
  <si>
    <t>Shawn Wolfe</t>
  </si>
  <si>
    <t>EMP0795</t>
  </si>
  <si>
    <t>Christopher Webb MD</t>
  </si>
  <si>
    <t>EMP0796</t>
  </si>
  <si>
    <t>Mark Martinez</t>
  </si>
  <si>
    <t>EMP0797</t>
  </si>
  <si>
    <t>Debra Nelson</t>
  </si>
  <si>
    <t>EMP0798</t>
  </si>
  <si>
    <t>Shawna Wolf</t>
  </si>
  <si>
    <t>EMP0799</t>
  </si>
  <si>
    <t>Susan Sexton</t>
  </si>
  <si>
    <t>EMP0800</t>
  </si>
  <si>
    <t>Christina Williams</t>
  </si>
  <si>
    <t>EMP0801</t>
  </si>
  <si>
    <t>Lee Underwood</t>
  </si>
  <si>
    <t>EMP0802</t>
  </si>
  <si>
    <t>Paul Blankenship</t>
  </si>
  <si>
    <t>EMP0803</t>
  </si>
  <si>
    <t>John Carlson</t>
  </si>
  <si>
    <t>EMP0804</t>
  </si>
  <si>
    <t>Jessica Young</t>
  </si>
  <si>
    <t>EMP0805</t>
  </si>
  <si>
    <t>Michael Glenn</t>
  </si>
  <si>
    <t>EMP0806</t>
  </si>
  <si>
    <t>Russell Johnson</t>
  </si>
  <si>
    <t>EMP0807</t>
  </si>
  <si>
    <t>Joseph Tran</t>
  </si>
  <si>
    <t>EMP0808</t>
  </si>
  <si>
    <t>Brittney Williams</t>
  </si>
  <si>
    <t>EMP0809</t>
  </si>
  <si>
    <t>Michael Brown</t>
  </si>
  <si>
    <t>EMP0810</t>
  </si>
  <si>
    <t>Theresa Andersen</t>
  </si>
  <si>
    <t>EMP0811</t>
  </si>
  <si>
    <t>John Davis</t>
  </si>
  <si>
    <t>EMP0812</t>
  </si>
  <si>
    <t>Emma Garrett</t>
  </si>
  <si>
    <t>EMP0813</t>
  </si>
  <si>
    <t>Patricia Lara</t>
  </si>
  <si>
    <t>EMP0814</t>
  </si>
  <si>
    <t>Daniel Davis</t>
  </si>
  <si>
    <t>EMP0815</t>
  </si>
  <si>
    <t>Aaron Smith</t>
  </si>
  <si>
    <t>EMP0816</t>
  </si>
  <si>
    <t>Patrick Pacheco</t>
  </si>
  <si>
    <t>EMP0817</t>
  </si>
  <si>
    <t>Donna Wright</t>
  </si>
  <si>
    <t>EMP0818</t>
  </si>
  <si>
    <t>Kari Thompson</t>
  </si>
  <si>
    <t>EMP0819</t>
  </si>
  <si>
    <t>Madison Hancock</t>
  </si>
  <si>
    <t>EMP0820</t>
  </si>
  <si>
    <t>Jason Martin</t>
  </si>
  <si>
    <t>EMP0821</t>
  </si>
  <si>
    <t>Sonia Hunt</t>
  </si>
  <si>
    <t>EMP0822</t>
  </si>
  <si>
    <t>Aaron Lewis</t>
  </si>
  <si>
    <t>EMP0823</t>
  </si>
  <si>
    <t>Robert Carter</t>
  </si>
  <si>
    <t>EMP0824</t>
  </si>
  <si>
    <t>Allison Parker</t>
  </si>
  <si>
    <t>EMP0825</t>
  </si>
  <si>
    <t>Allen Armstrong</t>
  </si>
  <si>
    <t>EMP0826</t>
  </si>
  <si>
    <t>Jeffrey Snyder</t>
  </si>
  <si>
    <t>EMP0827</t>
  </si>
  <si>
    <t>Jennifer Houston</t>
  </si>
  <si>
    <t>EMP0828</t>
  </si>
  <si>
    <t>James Norris</t>
  </si>
  <si>
    <t>EMP0829</t>
  </si>
  <si>
    <t>Carl Beard</t>
  </si>
  <si>
    <t>EMP0830</t>
  </si>
  <si>
    <t>Mr. Nathaniel Phillips</t>
  </si>
  <si>
    <t>EMP0831</t>
  </si>
  <si>
    <t>Tracy Rasmussen</t>
  </si>
  <si>
    <t>EMP0832</t>
  </si>
  <si>
    <t>Lisa Johnson</t>
  </si>
  <si>
    <t>EMP0833</t>
  </si>
  <si>
    <t>Tiffany Jacobs</t>
  </si>
  <si>
    <t>EMP0834</t>
  </si>
  <si>
    <t>Patricia Stephenson</t>
  </si>
  <si>
    <t>EMP0835</t>
  </si>
  <si>
    <t>Kristin Williams</t>
  </si>
  <si>
    <t>EMP0836</t>
  </si>
  <si>
    <t>Laura Newton</t>
  </si>
  <si>
    <t>EMP0837</t>
  </si>
  <si>
    <t>Cynthia Miller</t>
  </si>
  <si>
    <t>EMP0838</t>
  </si>
  <si>
    <t>Jacqueline Mason</t>
  </si>
  <si>
    <t>EMP0839</t>
  </si>
  <si>
    <t>Kara Hill</t>
  </si>
  <si>
    <t>EMP0840</t>
  </si>
  <si>
    <t>Johnny Bush</t>
  </si>
  <si>
    <t>EMP0841</t>
  </si>
  <si>
    <t>Brandon Butler</t>
  </si>
  <si>
    <t>EMP0842</t>
  </si>
  <si>
    <t>Carol Young</t>
  </si>
  <si>
    <t>EMP0843</t>
  </si>
  <si>
    <t>Autumn Huang</t>
  </si>
  <si>
    <t>EMP0844</t>
  </si>
  <si>
    <t>Katie Moreno</t>
  </si>
  <si>
    <t>EMP0845</t>
  </si>
  <si>
    <t>Jesus Garcia</t>
  </si>
  <si>
    <t>EMP0846</t>
  </si>
  <si>
    <t>Christine Walker</t>
  </si>
  <si>
    <t>EMP0847</t>
  </si>
  <si>
    <t>Ashley Wilson</t>
  </si>
  <si>
    <t>EMP0848</t>
  </si>
  <si>
    <t>Christopher Ayala</t>
  </si>
  <si>
    <t>EMP0849</t>
  </si>
  <si>
    <t>Robert Evans</t>
  </si>
  <si>
    <t>EMP0850</t>
  </si>
  <si>
    <t>Elizabeth Eaton</t>
  </si>
  <si>
    <t>EMP0851</t>
  </si>
  <si>
    <t>Dr. Julia Ford MD</t>
  </si>
  <si>
    <t>EMP0852</t>
  </si>
  <si>
    <t>Jackie Garcia</t>
  </si>
  <si>
    <t>EMP0853</t>
  </si>
  <si>
    <t>Mark Davis</t>
  </si>
  <si>
    <t>EMP0854</t>
  </si>
  <si>
    <t>Ronald Pruitt</t>
  </si>
  <si>
    <t>EMP0855</t>
  </si>
  <si>
    <t>Brenda Stephens</t>
  </si>
  <si>
    <t>EMP0856</t>
  </si>
  <si>
    <t>Matthew Gibbs</t>
  </si>
  <si>
    <t>EMP0857</t>
  </si>
  <si>
    <t>Bobby Martinez</t>
  </si>
  <si>
    <t>EMP0858</t>
  </si>
  <si>
    <t>Denise Owens MD</t>
  </si>
  <si>
    <t>EMP0859</t>
  </si>
  <si>
    <t>Ana Hunt</t>
  </si>
  <si>
    <t>EMP0860</t>
  </si>
  <si>
    <t>Barbara Scott</t>
  </si>
  <si>
    <t>EMP0861</t>
  </si>
  <si>
    <t>Joshua Garcia</t>
  </si>
  <si>
    <t>EMP0862</t>
  </si>
  <si>
    <t>Peggy Rodriguez</t>
  </si>
  <si>
    <t>EMP0863</t>
  </si>
  <si>
    <t>Travis Becker</t>
  </si>
  <si>
    <t>EMP0864</t>
  </si>
  <si>
    <t>Kristen Rocha</t>
  </si>
  <si>
    <t>EMP0865</t>
  </si>
  <si>
    <t>Derrick Bentley</t>
  </si>
  <si>
    <t>EMP0866</t>
  </si>
  <si>
    <t>Tina Duffy</t>
  </si>
  <si>
    <t>EMP0867</t>
  </si>
  <si>
    <t>Kayla Estrada</t>
  </si>
  <si>
    <t>EMP0868</t>
  </si>
  <si>
    <t>Thomas Gilbert</t>
  </si>
  <si>
    <t>EMP0869</t>
  </si>
  <si>
    <t>Laura Cooper</t>
  </si>
  <si>
    <t>EMP0870</t>
  </si>
  <si>
    <t>Ryan Walters</t>
  </si>
  <si>
    <t>EMP0871</t>
  </si>
  <si>
    <t>Dr. Samuel Hancock</t>
  </si>
  <si>
    <t>EMP0872</t>
  </si>
  <si>
    <t>Megan Miller</t>
  </si>
  <si>
    <t>EMP0873</t>
  </si>
  <si>
    <t>Claudia Flores</t>
  </si>
  <si>
    <t>EMP0874</t>
  </si>
  <si>
    <t>Joy Hogan</t>
  </si>
  <si>
    <t>EMP0875</t>
  </si>
  <si>
    <t>Clayton Parker</t>
  </si>
  <si>
    <t>EMP0876</t>
  </si>
  <si>
    <t>Andrea Davila</t>
  </si>
  <si>
    <t>EMP0877</t>
  </si>
  <si>
    <t>Stephanie Davis</t>
  </si>
  <si>
    <t>EMP0878</t>
  </si>
  <si>
    <t>George Jackson</t>
  </si>
  <si>
    <t>EMP0879</t>
  </si>
  <si>
    <t>Eric Anderson</t>
  </si>
  <si>
    <t>EMP0880</t>
  </si>
  <si>
    <t>Tiffany Young</t>
  </si>
  <si>
    <t>EMP0881</t>
  </si>
  <si>
    <t>Linda Turner</t>
  </si>
  <si>
    <t>EMP0882</t>
  </si>
  <si>
    <t>Alexander Wallace</t>
  </si>
  <si>
    <t>EMP0883</t>
  </si>
  <si>
    <t>Joshua Brooks</t>
  </si>
  <si>
    <t>EMP0884</t>
  </si>
  <si>
    <t>Andrew Reed</t>
  </si>
  <si>
    <t>EMP0885</t>
  </si>
  <si>
    <t>Ricardo Lynch</t>
  </si>
  <si>
    <t>EMP0886</t>
  </si>
  <si>
    <t>Joshua Beck</t>
  </si>
  <si>
    <t>EMP0887</t>
  </si>
  <si>
    <t>Mrs. Wendy Lopez</t>
  </si>
  <si>
    <t>EMP0888</t>
  </si>
  <si>
    <t>Adam Osborn</t>
  </si>
  <si>
    <t>EMP0889</t>
  </si>
  <si>
    <t>Teresa Price</t>
  </si>
  <si>
    <t>EMP0890</t>
  </si>
  <si>
    <t>Samuel Harris</t>
  </si>
  <si>
    <t>EMP0891</t>
  </si>
  <si>
    <t>Richard Medina</t>
  </si>
  <si>
    <t>EMP0892</t>
  </si>
  <si>
    <t>Carl Ramos</t>
  </si>
  <si>
    <t>EMP0893</t>
  </si>
  <si>
    <t>Mary Perez MD</t>
  </si>
  <si>
    <t>EMP0894</t>
  </si>
  <si>
    <t>Nichole Crane</t>
  </si>
  <si>
    <t>EMP0895</t>
  </si>
  <si>
    <t>Janet Butler</t>
  </si>
  <si>
    <t>EMP0896</t>
  </si>
  <si>
    <t>Crystal Sanders</t>
  </si>
  <si>
    <t>EMP0897</t>
  </si>
  <si>
    <t>Wyatt Thomas</t>
  </si>
  <si>
    <t>EMP0898</t>
  </si>
  <si>
    <t>Jerry Oconnor</t>
  </si>
  <si>
    <t>EMP0899</t>
  </si>
  <si>
    <t>Kerry Martinez</t>
  </si>
  <si>
    <t>EMP0900</t>
  </si>
  <si>
    <t>Marc Avila</t>
  </si>
  <si>
    <t>EMP0901</t>
  </si>
  <si>
    <t>Jessica Adams</t>
  </si>
  <si>
    <t>EMP0902</t>
  </si>
  <si>
    <t>Jordan Harris</t>
  </si>
  <si>
    <t>EMP0903</t>
  </si>
  <si>
    <t>Kristin Delgado</t>
  </si>
  <si>
    <t>EMP0904</t>
  </si>
  <si>
    <t>Patricia Davis</t>
  </si>
  <si>
    <t>EMP0905</t>
  </si>
  <si>
    <t>Danielle Pugh</t>
  </si>
  <si>
    <t>EMP0906</t>
  </si>
  <si>
    <t>Benjamin Church</t>
  </si>
  <si>
    <t>EMP0907</t>
  </si>
  <si>
    <t>Chelsea Stevens</t>
  </si>
  <si>
    <t>EMP0908</t>
  </si>
  <si>
    <t>Brandon Henry</t>
  </si>
  <si>
    <t>EMP0909</t>
  </si>
  <si>
    <t>Jordan Murray</t>
  </si>
  <si>
    <t>EMP0910</t>
  </si>
  <si>
    <t>Michele Reyes</t>
  </si>
  <si>
    <t>EMP0911</t>
  </si>
  <si>
    <t>Roger Hobbs</t>
  </si>
  <si>
    <t>EMP0912</t>
  </si>
  <si>
    <t>Kimberly Aguirre</t>
  </si>
  <si>
    <t>EMP0913</t>
  </si>
  <si>
    <t>Cameron Lozano</t>
  </si>
  <si>
    <t>EMP0914</t>
  </si>
  <si>
    <t>Megan Moore</t>
  </si>
  <si>
    <t>EMP0915</t>
  </si>
  <si>
    <t>Joseph Dickerson</t>
  </si>
  <si>
    <t>EMP0916</t>
  </si>
  <si>
    <t>Allen Parker</t>
  </si>
  <si>
    <t>EMP0917</t>
  </si>
  <si>
    <t>Amanda Petersen</t>
  </si>
  <si>
    <t>EMP0918</t>
  </si>
  <si>
    <t>Brandi Clark</t>
  </si>
  <si>
    <t>EMP0919</t>
  </si>
  <si>
    <t>Angel Deleon</t>
  </si>
  <si>
    <t>EMP0920</t>
  </si>
  <si>
    <t>Stacey Warner</t>
  </si>
  <si>
    <t>EMP0921</t>
  </si>
  <si>
    <t>Sherry Salas</t>
  </si>
  <si>
    <t>EMP0922</t>
  </si>
  <si>
    <t>Daniel Moore</t>
  </si>
  <si>
    <t>EMP0923</t>
  </si>
  <si>
    <t>Jeanette Allison</t>
  </si>
  <si>
    <t>EMP0924</t>
  </si>
  <si>
    <t>Wanda Hoffman</t>
  </si>
  <si>
    <t>EMP0925</t>
  </si>
  <si>
    <t>Carl Robles</t>
  </si>
  <si>
    <t>EMP0926</t>
  </si>
  <si>
    <t>Spencer White</t>
  </si>
  <si>
    <t>EMP0927</t>
  </si>
  <si>
    <t>Christopher Kennedy</t>
  </si>
  <si>
    <t>EMP0928</t>
  </si>
  <si>
    <t>Taylor Richardson</t>
  </si>
  <si>
    <t>EMP0929</t>
  </si>
  <si>
    <t>Pedro Smith</t>
  </si>
  <si>
    <t>EMP0930</t>
  </si>
  <si>
    <t>Elizabeth Thomas</t>
  </si>
  <si>
    <t>EMP0931</t>
  </si>
  <si>
    <t>John Castillo</t>
  </si>
  <si>
    <t>EMP0932</t>
  </si>
  <si>
    <t>Angela Harmon</t>
  </si>
  <si>
    <t>EMP0933</t>
  </si>
  <si>
    <t>Christopher Hernandez</t>
  </si>
  <si>
    <t>EMP0934</t>
  </si>
  <si>
    <t>Madison Wright</t>
  </si>
  <si>
    <t>EMP0935</t>
  </si>
  <si>
    <t>James Sanchez</t>
  </si>
  <si>
    <t>EMP0936</t>
  </si>
  <si>
    <t>Cindy Perkins</t>
  </si>
  <si>
    <t>EMP0937</t>
  </si>
  <si>
    <t>Garrett Holmes</t>
  </si>
  <si>
    <t>EMP0938</t>
  </si>
  <si>
    <t>Jason Brady</t>
  </si>
  <si>
    <t>EMP0939</t>
  </si>
  <si>
    <t>Angela Johnson</t>
  </si>
  <si>
    <t>EMP0940</t>
  </si>
  <si>
    <t>Jeffrey Wood</t>
  </si>
  <si>
    <t>EMP0941</t>
  </si>
  <si>
    <t>Hannah Patel</t>
  </si>
  <si>
    <t>EMP0942</t>
  </si>
  <si>
    <t>Jack Cole</t>
  </si>
  <si>
    <t>EMP0943</t>
  </si>
  <si>
    <t>Tracy Thomas</t>
  </si>
  <si>
    <t>EMP0944</t>
  </si>
  <si>
    <t>Robin Smith</t>
  </si>
  <si>
    <t>EMP0945</t>
  </si>
  <si>
    <t>Jessica Burton</t>
  </si>
  <si>
    <t>EMP0946</t>
  </si>
  <si>
    <t>Stephen Schmidt</t>
  </si>
  <si>
    <t>EMP0947</t>
  </si>
  <si>
    <t>Alexander Vazquez</t>
  </si>
  <si>
    <t>EMP0948</t>
  </si>
  <si>
    <t>Gerald Ellis</t>
  </si>
  <si>
    <t>EMP0949</t>
  </si>
  <si>
    <t>Heather Cruz</t>
  </si>
  <si>
    <t>EMP0950</t>
  </si>
  <si>
    <t>Joshua Duncan</t>
  </si>
  <si>
    <t>EMP0951</t>
  </si>
  <si>
    <t>Alicia Walton</t>
  </si>
  <si>
    <t>EMP0952</t>
  </si>
  <si>
    <t>Denise May</t>
  </si>
  <si>
    <t>EMP0953</t>
  </si>
  <si>
    <t>David Graham</t>
  </si>
  <si>
    <t>EMP0954</t>
  </si>
  <si>
    <t>Jerry Johnson</t>
  </si>
  <si>
    <t>EMP0955</t>
  </si>
  <si>
    <t>Emily Carlson</t>
  </si>
  <si>
    <t>EMP0956</t>
  </si>
  <si>
    <t>Jennifer Brown DDS</t>
  </si>
  <si>
    <t>EMP0957</t>
  </si>
  <si>
    <t>Colton Brady</t>
  </si>
  <si>
    <t>EMP0958</t>
  </si>
  <si>
    <t>Duane Davidson</t>
  </si>
  <si>
    <t>EMP0959</t>
  </si>
  <si>
    <t>Parker Smith</t>
  </si>
  <si>
    <t>EMP0960</t>
  </si>
  <si>
    <t>Amanda Gardner</t>
  </si>
  <si>
    <t>EMP0961</t>
  </si>
  <si>
    <t>Dr. Richard Preston</t>
  </si>
  <si>
    <t>EMP0962</t>
  </si>
  <si>
    <t>Daniel Chapman</t>
  </si>
  <si>
    <t>EMP0963</t>
  </si>
  <si>
    <t>EMP0964</t>
  </si>
  <si>
    <t>Betty Mccormick</t>
  </si>
  <si>
    <t>EMP0965</t>
  </si>
  <si>
    <t>Mary Saunders</t>
  </si>
  <si>
    <t>EMP0966</t>
  </si>
  <si>
    <t>Jackie Rodriguez</t>
  </si>
  <si>
    <t>EMP0967</t>
  </si>
  <si>
    <t>James Miles</t>
  </si>
  <si>
    <t>EMP0968</t>
  </si>
  <si>
    <t>Laurie Carlson</t>
  </si>
  <si>
    <t>EMP0969</t>
  </si>
  <si>
    <t>Elizabeth Hines</t>
  </si>
  <si>
    <t>EMP0970</t>
  </si>
  <si>
    <t>Desiree Baldwin</t>
  </si>
  <si>
    <t>EMP0971</t>
  </si>
  <si>
    <t>Thomas Harris</t>
  </si>
  <si>
    <t>EMP0972</t>
  </si>
  <si>
    <t>Melinda Carter</t>
  </si>
  <si>
    <t>EMP0973</t>
  </si>
  <si>
    <t>Ryan Gray</t>
  </si>
  <si>
    <t>EMP0974</t>
  </si>
  <si>
    <t>EMP0975</t>
  </si>
  <si>
    <t>Stephanie Watts</t>
  </si>
  <si>
    <t>EMP0976</t>
  </si>
  <si>
    <t>Kristen Lane</t>
  </si>
  <si>
    <t>EMP0977</t>
  </si>
  <si>
    <t>EMP0978</t>
  </si>
  <si>
    <t>Andrea Orozco</t>
  </si>
  <si>
    <t>EMP0979</t>
  </si>
  <si>
    <t>Derek Shepherd</t>
  </si>
  <si>
    <t>EMP0980</t>
  </si>
  <si>
    <t>Elizabeth Goodwin</t>
  </si>
  <si>
    <t>EMP0981</t>
  </si>
  <si>
    <t>Michael Haley</t>
  </si>
  <si>
    <t>EMP0982</t>
  </si>
  <si>
    <t>Michelle Newman</t>
  </si>
  <si>
    <t>EMP0983</t>
  </si>
  <si>
    <t>Rebecca Marsh</t>
  </si>
  <si>
    <t>EMP0984</t>
  </si>
  <si>
    <t>Brandy Duffy</t>
  </si>
  <si>
    <t>EMP0985</t>
  </si>
  <si>
    <t>Heidi Green</t>
  </si>
  <si>
    <t>EMP0986</t>
  </si>
  <si>
    <t>Pamela Myers</t>
  </si>
  <si>
    <t>EMP0987</t>
  </si>
  <si>
    <t>Zachary Reed</t>
  </si>
  <si>
    <t>EMP0988</t>
  </si>
  <si>
    <t>Anne Patton</t>
  </si>
  <si>
    <t>EMP0989</t>
  </si>
  <si>
    <t>Heather Tucker</t>
  </si>
  <si>
    <t>EMP0990</t>
  </si>
  <si>
    <t>Jonathan Neal</t>
  </si>
  <si>
    <t>EMP0991</t>
  </si>
  <si>
    <t>William Richardson</t>
  </si>
  <si>
    <t>EMP0992</t>
  </si>
  <si>
    <t>Allison Floyd</t>
  </si>
  <si>
    <t>EMP0993</t>
  </si>
  <si>
    <t>Kenneth Barnett</t>
  </si>
  <si>
    <t>EMP0994</t>
  </si>
  <si>
    <t>Samuel Sheppard</t>
  </si>
  <si>
    <t>EMP0995</t>
  </si>
  <si>
    <t>Hannah Romero</t>
  </si>
  <si>
    <t>EMP0996</t>
  </si>
  <si>
    <t>Rachael Maynard</t>
  </si>
  <si>
    <t>EMP0997</t>
  </si>
  <si>
    <t>Justin Smith</t>
  </si>
  <si>
    <t>EMP0998</t>
  </si>
  <si>
    <t>Robert Gonzalez</t>
  </si>
  <si>
    <t>EMP0999</t>
  </si>
  <si>
    <t>Caroline Dominguez</t>
  </si>
  <si>
    <t>EMP1000</t>
  </si>
  <si>
    <t>Matthew Marshall</t>
  </si>
  <si>
    <t>Average performance_score</t>
  </si>
  <si>
    <t>Average of salary</t>
  </si>
  <si>
    <t>Count of employee_id</t>
  </si>
  <si>
    <t>Sum of performance_score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</si>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</sst>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4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[employee_performance_dataset.xlsx]Sheet3!PivotTable25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Sheet3!$B$9:$B$15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Sheet3!$C$9:$C$15</c:f>
              <c:numCache>
                <c:formatCode>0.00</c:formatCode>
                <c:ptCount val="6"/>
                <c:pt idx="0">
                  <c:v>7.1926857142857159</c:v>
                </c:pt>
                <c:pt idx="1">
                  <c:v>7.3329508196721287</c:v>
                </c:pt>
                <c:pt idx="2">
                  <c:v>7.162684563758388</c:v>
                </c:pt>
                <c:pt idx="3">
                  <c:v>7.2953797468354464</c:v>
                </c:pt>
                <c:pt idx="4">
                  <c:v>7.3269325153374227</c:v>
                </c:pt>
                <c:pt idx="5">
                  <c:v>7.461337209302326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6-495D-8062-C9EB208AEC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93168671"/>
        <c:axId val="593169151"/>
      </c:barChart>
      <c:catAx>
        <c:axId val="593168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69151"/>
        <c:crosses val="autoZero"/>
        <c:auto val="1"/>
        <c:lblAlgn val="ctr"/>
        <c:lblOffset val="100"/>
        <c:noMultiLvlLbl val="0"/>
      </c:catAx>
      <c:valAx>
        <c:axId val="593169151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59316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[employee_performance_dataset.xlsx]Sheet3!PivotTable27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988823272090987"/>
          <c:y val="0.2632848498104403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Sheet3!$C$18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AA-4FB9-9F6C-E524E60EFE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AA-4FB9-9F6C-E524E60EFEA4}"/>
              </c:ext>
            </c:extLst>
          </c:dPt>
          <c:cat>
            <c:strRef>
              <c:f>Sheet3!$B$19:$B$21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Sheet3!$C$19:$C$21</c:f>
              <c:numCache>
                <c:formatCode>General</c:formatCode>
                <c:ptCount val="2"/>
                <c:pt idx="0">
                  <c:v>811</c:v>
                </c:pt>
                <c:pt idx="1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1-4B23-B765-88DE6676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[employee_performance_dataset.xlsx]Sheet3!PivotTable28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Sheet3!$F$18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7D-488C-BD3E-4DAD77CAAB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7D-488C-BD3E-4DAD77CAABEA}"/>
              </c:ext>
            </c:extLst>
          </c:dPt>
          <c:cat>
            <c:strRef>
              <c:f>Sheet3!$E$19:$E$21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Sheet3!$F$19:$F$21</c:f>
              <c:numCache>
                <c:formatCode>General</c:formatCode>
                <c:ptCount val="2"/>
                <c:pt idx="0">
                  <c:v>523</c:v>
                </c:pt>
                <c:pt idx="1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6-494F-B8C8-A035FC21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Salery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Salery Distribution</a:t>
          </a:r>
        </a:p>
      </cx:txPr>
    </cx:title>
    <cx:plotArea>
      <cx:plotAreaRegion>
        <cx:series layoutId="clusteredColumn" uniqueId="{C8387C7B-D712-4ABC-8B22-815EF7261ABF}">
          <cx:tx>
            <cx:txData>
              <cx:f>_xlchart.v1.0</cx:f>
              <cx:v>salary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</xdr:colOff>
      <xdr:row>24</xdr:row>
      <xdr:rowOff>7620</xdr:rowOff>
    </xdr:from>
    <xdr:to>
      <xdr:col>10</xdr:col>
      <xdr:colOff>0</xdr:colOff>
      <xdr:row>37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AEE9EC-6AF1-9B7C-552F-670FBF51A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38</xdr:row>
      <xdr:rowOff>7620</xdr:rowOff>
    </xdr:from>
    <xdr:to>
      <xdr:col>9</xdr:col>
      <xdr:colOff>586740</xdr:colOff>
      <xdr:row>54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7F0C2A4-15DF-4E2E-9BA7-238AC18569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8680" y="7018020"/>
              <a:ext cx="10599420" cy="3070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7620</xdr:colOff>
      <xdr:row>56</xdr:row>
      <xdr:rowOff>179070</xdr:rowOff>
    </xdr:from>
    <xdr:to>
      <xdr:col>4</xdr:col>
      <xdr:colOff>1005840</xdr:colOff>
      <xdr:row>71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73E067-62E1-0962-F08C-6177481FE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83826</xdr:colOff>
      <xdr:row>57</xdr:row>
      <xdr:rowOff>3810</xdr:rowOff>
    </xdr:from>
    <xdr:to>
      <xdr:col>8</xdr:col>
      <xdr:colOff>1569726</xdr:colOff>
      <xdr:row>72</xdr:row>
      <xdr:rowOff>3810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B33CBF-49F9-1C46-5A6D-AF47D3065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kandasai m" refreshedDate="46151.971662268516" createdVersion="8" refreshedVersion="8" minRefreshableVersion="3" recordCount="1000" xr:uid="{F70D1C7C-8844-49FC-8332-14A2294B6EB6}">
  <cacheSource type="worksheet">
    <worksheetSource name="Table4"/>
  </cacheSource>
  <cacheFields count="17">
    <cacheField name="employee_id" numFmtId="0">
      <sharedItems count="10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  <s v="EMP0501"/>
        <s v="EMP0502"/>
        <s v="EMP0503"/>
        <s v="EMP0504"/>
        <s v="EMP0505"/>
        <s v="EMP0506"/>
        <s v="EMP0507"/>
        <s v="EMP0508"/>
        <s v="EMP0509"/>
        <s v="EMP0510"/>
        <s v="EMP0511"/>
        <s v="EMP0512"/>
        <s v="EMP0513"/>
        <s v="EMP0514"/>
        <s v="EMP0515"/>
        <s v="EMP0516"/>
        <s v="EMP0517"/>
        <s v="EMP0518"/>
        <s v="EMP0519"/>
        <s v="EMP0520"/>
        <s v="EMP0521"/>
        <s v="EMP0522"/>
        <s v="EMP0523"/>
        <s v="EMP0524"/>
        <s v="EMP0525"/>
        <s v="EMP0526"/>
        <s v="EMP0527"/>
        <s v="EMP0528"/>
        <s v="EMP0529"/>
        <s v="EMP0530"/>
        <s v="EMP0531"/>
        <s v="EMP0532"/>
        <s v="EMP0533"/>
        <s v="EMP0534"/>
        <s v="EMP0535"/>
        <s v="EMP0536"/>
        <s v="EMP0537"/>
        <s v="EMP0538"/>
        <s v="EMP0539"/>
        <s v="EMP0540"/>
        <s v="EMP0541"/>
        <s v="EMP0542"/>
        <s v="EMP0543"/>
        <s v="EMP0544"/>
        <s v="EMP0545"/>
        <s v="EMP0546"/>
        <s v="EMP0547"/>
        <s v="EMP0548"/>
        <s v="EMP0549"/>
        <s v="EMP0550"/>
        <s v="EMP0551"/>
        <s v="EMP0552"/>
        <s v="EMP0553"/>
        <s v="EMP0554"/>
        <s v="EMP0555"/>
        <s v="EMP0556"/>
        <s v="EMP0557"/>
        <s v="EMP0558"/>
        <s v="EMP0559"/>
        <s v="EMP0560"/>
        <s v="EMP0561"/>
        <s v="EMP0562"/>
        <s v="EMP0563"/>
        <s v="EMP0564"/>
        <s v="EMP0565"/>
        <s v="EMP0566"/>
        <s v="EMP0567"/>
        <s v="EMP0568"/>
        <s v="EMP0569"/>
        <s v="EMP0570"/>
        <s v="EMP0571"/>
        <s v="EMP0572"/>
        <s v="EMP0573"/>
        <s v="EMP0574"/>
        <s v="EMP0575"/>
        <s v="EMP0576"/>
        <s v="EMP0577"/>
        <s v="EMP0578"/>
        <s v="EMP0579"/>
        <s v="EMP0580"/>
        <s v="EMP0581"/>
        <s v="EMP0582"/>
        <s v="EMP0583"/>
        <s v="EMP0584"/>
        <s v="EMP0585"/>
        <s v="EMP0586"/>
        <s v="EMP0587"/>
        <s v="EMP0588"/>
        <s v="EMP0589"/>
        <s v="EMP0590"/>
        <s v="EMP0591"/>
        <s v="EMP0592"/>
        <s v="EMP0593"/>
        <s v="EMP0594"/>
        <s v="EMP0595"/>
        <s v="EMP0596"/>
        <s v="EMP0597"/>
        <s v="EMP0598"/>
        <s v="EMP0599"/>
        <s v="EMP0600"/>
        <s v="EMP0601"/>
        <s v="EMP0602"/>
        <s v="EMP0603"/>
        <s v="EMP0604"/>
        <s v="EMP0605"/>
        <s v="EMP0606"/>
        <s v="EMP0607"/>
        <s v="EMP0608"/>
        <s v="EMP0609"/>
        <s v="EMP0610"/>
        <s v="EMP0611"/>
        <s v="EMP0612"/>
        <s v="EMP0613"/>
        <s v="EMP0614"/>
        <s v="EMP0615"/>
        <s v="EMP0616"/>
        <s v="EMP0617"/>
        <s v="EMP0618"/>
        <s v="EMP0619"/>
        <s v="EMP0620"/>
        <s v="EMP0621"/>
        <s v="EMP0622"/>
        <s v="EMP0623"/>
        <s v="EMP0624"/>
        <s v="EMP0625"/>
        <s v="EMP0626"/>
        <s v="EMP0627"/>
        <s v="EMP0628"/>
        <s v="EMP0629"/>
        <s v="EMP0630"/>
        <s v="EMP0631"/>
        <s v="EMP0632"/>
        <s v="EMP0633"/>
        <s v="EMP0634"/>
        <s v="EMP0635"/>
        <s v="EMP0636"/>
        <s v="EMP0637"/>
        <s v="EMP0638"/>
        <s v="EMP0639"/>
        <s v="EMP0640"/>
        <s v="EMP0641"/>
        <s v="EMP0642"/>
        <s v="EMP0643"/>
        <s v="EMP0644"/>
        <s v="EMP0645"/>
        <s v="EMP0646"/>
        <s v="EMP0647"/>
        <s v="EMP0648"/>
        <s v="EMP0649"/>
        <s v="EMP0650"/>
        <s v="EMP0651"/>
        <s v="EMP0652"/>
        <s v="EMP0653"/>
        <s v="EMP0654"/>
        <s v="EMP0655"/>
        <s v="EMP0656"/>
        <s v="EMP0657"/>
        <s v="EMP0658"/>
        <s v="EMP0659"/>
        <s v="EMP0660"/>
        <s v="EMP0661"/>
        <s v="EMP0662"/>
        <s v="EMP0663"/>
        <s v="EMP0664"/>
        <s v="EMP0665"/>
        <s v="EMP0666"/>
        <s v="EMP0667"/>
        <s v="EMP0668"/>
        <s v="EMP0669"/>
        <s v="EMP0670"/>
        <s v="EMP0671"/>
        <s v="EMP0672"/>
        <s v="EMP0673"/>
        <s v="EMP0674"/>
        <s v="EMP0675"/>
        <s v="EMP0676"/>
        <s v="EMP0677"/>
        <s v="EMP0678"/>
        <s v="EMP0679"/>
        <s v="EMP0680"/>
        <s v="EMP0681"/>
        <s v="EMP0682"/>
        <s v="EMP0683"/>
        <s v="EMP0684"/>
        <s v="EMP0685"/>
        <s v="EMP0686"/>
        <s v="EMP0687"/>
        <s v="EMP0688"/>
        <s v="EMP0689"/>
        <s v="EMP0690"/>
        <s v="EMP0691"/>
        <s v="EMP0692"/>
        <s v="EMP0693"/>
        <s v="EMP0694"/>
        <s v="EMP0695"/>
        <s v="EMP0696"/>
        <s v="EMP0697"/>
        <s v="EMP0698"/>
        <s v="EMP0699"/>
        <s v="EMP0700"/>
        <s v="EMP0701"/>
        <s v="EMP0702"/>
        <s v="EMP0703"/>
        <s v="EMP0704"/>
        <s v="EMP0705"/>
        <s v="EMP0706"/>
        <s v="EMP0707"/>
        <s v="EMP0708"/>
        <s v="EMP0709"/>
        <s v="EMP0710"/>
        <s v="EMP0711"/>
        <s v="EMP0712"/>
        <s v="EMP0713"/>
        <s v="EMP0714"/>
        <s v="EMP0715"/>
        <s v="EMP0716"/>
        <s v="EMP0717"/>
        <s v="EMP0718"/>
        <s v="EMP0719"/>
        <s v="EMP0720"/>
        <s v="EMP0721"/>
        <s v="EMP0722"/>
        <s v="EMP0723"/>
        <s v="EMP0724"/>
        <s v="EMP0725"/>
        <s v="EMP0726"/>
        <s v="EMP0727"/>
        <s v="EMP0728"/>
        <s v="EMP0729"/>
        <s v="EMP0730"/>
        <s v="EMP0731"/>
        <s v="EMP0732"/>
        <s v="EMP0733"/>
        <s v="EMP0734"/>
        <s v="EMP0735"/>
        <s v="EMP0736"/>
        <s v="EMP0737"/>
        <s v="EMP0738"/>
        <s v="EMP0739"/>
        <s v="EMP0740"/>
        <s v="EMP0741"/>
        <s v="EMP0742"/>
        <s v="EMP0743"/>
        <s v="EMP0744"/>
        <s v="EMP0745"/>
        <s v="EMP0746"/>
        <s v="EMP0747"/>
        <s v="EMP0748"/>
        <s v="EMP0749"/>
        <s v="EMP0750"/>
        <s v="EMP0751"/>
        <s v="EMP0752"/>
        <s v="EMP0753"/>
        <s v="EMP0754"/>
        <s v="EMP0755"/>
        <s v="EMP0756"/>
        <s v="EMP0757"/>
        <s v="EMP0758"/>
        <s v="EMP0759"/>
        <s v="EMP0760"/>
        <s v="EMP0761"/>
        <s v="EMP0762"/>
        <s v="EMP0763"/>
        <s v="EMP0764"/>
        <s v="EMP0765"/>
        <s v="EMP0766"/>
        <s v="EMP0767"/>
        <s v="EMP0768"/>
        <s v="EMP0769"/>
        <s v="EMP0770"/>
        <s v="EMP0771"/>
        <s v="EMP0772"/>
        <s v="EMP0773"/>
        <s v="EMP0774"/>
        <s v="EMP0775"/>
        <s v="EMP0776"/>
        <s v="EMP0777"/>
        <s v="EMP0778"/>
        <s v="EMP0779"/>
        <s v="EMP0780"/>
        <s v="EMP0781"/>
        <s v="EMP0782"/>
        <s v="EMP0783"/>
        <s v="EMP0784"/>
        <s v="EMP0785"/>
        <s v="EMP0786"/>
        <s v="EMP0787"/>
        <s v="EMP0788"/>
        <s v="EMP0789"/>
        <s v="EMP0790"/>
        <s v="EMP0791"/>
        <s v="EMP0792"/>
        <s v="EMP0793"/>
        <s v="EMP0794"/>
        <s v="EMP0795"/>
        <s v="EMP0796"/>
        <s v="EMP0797"/>
        <s v="EMP0798"/>
        <s v="EMP0799"/>
        <s v="EMP0800"/>
        <s v="EMP0801"/>
        <s v="EMP0802"/>
        <s v="EMP0803"/>
        <s v="EMP0804"/>
        <s v="EMP0805"/>
        <s v="EMP0806"/>
        <s v="EMP0807"/>
        <s v="EMP0808"/>
        <s v="EMP0809"/>
        <s v="EMP0810"/>
        <s v="EMP0811"/>
        <s v="EMP0812"/>
        <s v="EMP0813"/>
        <s v="EMP0814"/>
        <s v="EMP0815"/>
        <s v="EMP0816"/>
        <s v="EMP0817"/>
        <s v="EMP0818"/>
        <s v="EMP0819"/>
        <s v="EMP0820"/>
        <s v="EMP0821"/>
        <s v="EMP0822"/>
        <s v="EMP0823"/>
        <s v="EMP0824"/>
        <s v="EMP0825"/>
        <s v="EMP0826"/>
        <s v="EMP0827"/>
        <s v="EMP0828"/>
        <s v="EMP0829"/>
        <s v="EMP0830"/>
        <s v="EMP0831"/>
        <s v="EMP0832"/>
        <s v="EMP0833"/>
        <s v="EMP0834"/>
        <s v="EMP0835"/>
        <s v="EMP0836"/>
        <s v="EMP0837"/>
        <s v="EMP0838"/>
        <s v="EMP0839"/>
        <s v="EMP0840"/>
        <s v="EMP0841"/>
        <s v="EMP0842"/>
        <s v="EMP0843"/>
        <s v="EMP0844"/>
        <s v="EMP0845"/>
        <s v="EMP0846"/>
        <s v="EMP0847"/>
        <s v="EMP0848"/>
        <s v="EMP0849"/>
        <s v="EMP0850"/>
        <s v="EMP0851"/>
        <s v="EMP0852"/>
        <s v="EMP0853"/>
        <s v="EMP0854"/>
        <s v="EMP0855"/>
        <s v="EMP0856"/>
        <s v="EMP0857"/>
        <s v="EMP0858"/>
        <s v="EMP0859"/>
        <s v="EMP0860"/>
        <s v="EMP0861"/>
        <s v="EMP0862"/>
        <s v="EMP0863"/>
        <s v="EMP0864"/>
        <s v="EMP0865"/>
        <s v="EMP0866"/>
        <s v="EMP0867"/>
        <s v="EMP0868"/>
        <s v="EMP0869"/>
        <s v="EMP0870"/>
        <s v="EMP0871"/>
        <s v="EMP0872"/>
        <s v="EMP0873"/>
        <s v="EMP0874"/>
        <s v="EMP0875"/>
        <s v="EMP0876"/>
        <s v="EMP0877"/>
        <s v="EMP0878"/>
        <s v="EMP0879"/>
        <s v="EMP0880"/>
        <s v="EMP0881"/>
        <s v="EMP0882"/>
        <s v="EMP0883"/>
        <s v="EMP0884"/>
        <s v="EMP0885"/>
        <s v="EMP0886"/>
        <s v="EMP0887"/>
        <s v="EMP0888"/>
        <s v="EMP0889"/>
        <s v="EMP0890"/>
        <s v="EMP0891"/>
        <s v="EMP0892"/>
        <s v="EMP0893"/>
        <s v="EMP0894"/>
        <s v="EMP0895"/>
        <s v="EMP0896"/>
        <s v="EMP0897"/>
        <s v="EMP0898"/>
        <s v="EMP0899"/>
        <s v="EMP0900"/>
        <s v="EMP0901"/>
        <s v="EMP0902"/>
        <s v="EMP0903"/>
        <s v="EMP0904"/>
        <s v="EMP0905"/>
        <s v="EMP0906"/>
        <s v="EMP0907"/>
        <s v="EMP0908"/>
        <s v="EMP0909"/>
        <s v="EMP0910"/>
        <s v="EMP0911"/>
        <s v="EMP0912"/>
        <s v="EMP0913"/>
        <s v="EMP0914"/>
        <s v="EMP0915"/>
        <s v="EMP0916"/>
        <s v="EMP0917"/>
        <s v="EMP0918"/>
        <s v="EMP0919"/>
        <s v="EMP0920"/>
        <s v="EMP0921"/>
        <s v="EMP0922"/>
        <s v="EMP0923"/>
        <s v="EMP0924"/>
        <s v="EMP0925"/>
        <s v="EMP0926"/>
        <s v="EMP0927"/>
        <s v="EMP0928"/>
        <s v="EMP0929"/>
        <s v="EMP0930"/>
        <s v="EMP0931"/>
        <s v="EMP0932"/>
        <s v="EMP0933"/>
        <s v="EMP0934"/>
        <s v="EMP0935"/>
        <s v="EMP0936"/>
        <s v="EMP0937"/>
        <s v="EMP0938"/>
        <s v="EMP0939"/>
        <s v="EMP0940"/>
        <s v="EMP0941"/>
        <s v="EMP0942"/>
        <s v="EMP0943"/>
        <s v="EMP0944"/>
        <s v="EMP0945"/>
        <s v="EMP0946"/>
        <s v="EMP0947"/>
        <s v="EMP0948"/>
        <s v="EMP0949"/>
        <s v="EMP0950"/>
        <s v="EMP0951"/>
        <s v="EMP0952"/>
        <s v="EMP0953"/>
        <s v="EMP0954"/>
        <s v="EMP0955"/>
        <s v="EMP0956"/>
        <s v="EMP0957"/>
        <s v="EMP0958"/>
        <s v="EMP0959"/>
        <s v="EMP0960"/>
        <s v="EMP0961"/>
        <s v="EMP0962"/>
        <s v="EMP0963"/>
        <s v="EMP0964"/>
        <s v="EMP0965"/>
        <s v="EMP0966"/>
        <s v="EMP0967"/>
        <s v="EMP0968"/>
        <s v="EMP0969"/>
        <s v="EMP0970"/>
        <s v="EMP0971"/>
        <s v="EMP0972"/>
        <s v="EMP0973"/>
        <s v="EMP0974"/>
        <s v="EMP0975"/>
        <s v="EMP0976"/>
        <s v="EMP0977"/>
        <s v="EMP0978"/>
        <s v="EMP0979"/>
        <s v="EMP0980"/>
        <s v="EMP0981"/>
        <s v="EMP0982"/>
        <s v="EMP0983"/>
        <s v="EMP0984"/>
        <s v="EMP0985"/>
        <s v="EMP0986"/>
        <s v="EMP0987"/>
        <s v="EMP0988"/>
        <s v="EMP0989"/>
        <s v="EMP0990"/>
        <s v="EMP0991"/>
        <s v="EMP0992"/>
        <s v="EMP0993"/>
        <s v="EMP0994"/>
        <s v="EMP0995"/>
        <s v="EMP0996"/>
        <s v="EMP0997"/>
        <s v="EMP0998"/>
        <s v="EMP0999"/>
        <s v="EMP1000"/>
      </sharedItems>
    </cacheField>
    <cacheField name="employee_name" numFmtId="0">
      <sharedItems count="995">
        <s v="Jessica Clarke"/>
        <s v="Sandra Woods"/>
        <s v="Stephen Wells"/>
        <s v="Amber Giles"/>
        <s v="Amanda Williams"/>
        <s v="Amanda Gordon"/>
        <s v="Steven Castaneda"/>
        <s v="Jessica Reyes"/>
        <s v="Dr. Lisa Burton MD"/>
        <s v="Mark Hernandez"/>
        <s v="Jeanne Brandt"/>
        <s v="Theresa Jones"/>
        <s v="Diane Hall"/>
        <s v="Christina Baker"/>
        <s v="Gregory Sparks"/>
        <s v="Linda Mcdonald"/>
        <s v="Ashley Meyers"/>
        <s v="Jonathan Santana"/>
        <s v="Kenneth Hill"/>
        <s v="Peter Sanchez"/>
        <s v="Sara Cook"/>
        <s v="Matthew Ramirez"/>
        <s v="Dr. Jerry George II"/>
        <s v="Elizabeth Adams"/>
        <s v="Steven Carter DDS"/>
        <s v="Ashley Beltran"/>
        <s v="Steven Rose"/>
        <s v="Juan Whitehead"/>
        <s v="Manuel Wilson"/>
        <s v="Brittany Jackson"/>
        <s v="Mr. Johnny Romero"/>
        <s v="Martin Obrien"/>
        <s v="Alejandra Moody"/>
        <s v="Jill Mahoney"/>
        <s v="Debra Farmer"/>
        <s v="Savannah Singh"/>
        <s v="Amanda Swanson"/>
        <s v="Lisa Olson"/>
        <s v="Teresa White"/>
        <s v="Cody Rodriguez"/>
        <s v="Alexis Juarez DDS"/>
        <s v="Keith Hogan"/>
        <s v="Anna Phillips"/>
        <s v="Jeremy Wood"/>
        <s v="James Watts"/>
        <s v="John Cannon"/>
        <s v="Taylor Kelly"/>
        <s v="David Brown"/>
        <s v="Brenda Romero"/>
        <s v="Maria Martin"/>
        <s v="Scott Prince"/>
        <s v="Caleb Strickland"/>
        <s v="Jason Morrow"/>
        <s v="James Baird"/>
        <s v="Crystal Pittman"/>
        <s v="Desiree Peterson"/>
        <s v="Marcus Wright"/>
        <s v="Gary Williamson"/>
        <s v="Brian Dyer"/>
        <s v="Shawn Ross"/>
        <s v="Brandon Burnett"/>
        <s v="Kaitlin Turner"/>
        <s v="Beth Hernandez"/>
        <s v="Daniel Stone"/>
        <s v="Sheila Sanchez"/>
        <s v="Carol Flores"/>
        <s v="Thomas Howell"/>
        <s v="Donna Murray"/>
        <s v="Leslie Moore"/>
        <s v="James Brown"/>
        <s v="Jill Gilbert"/>
        <s v="Jonathan Miller"/>
        <s v="Ashley Perry DVM"/>
        <s v="David Fletcher"/>
        <s v="Michelle Watson"/>
        <s v="Brianna Ramirez"/>
        <s v="Lorraine Reid"/>
        <s v="Lisa Snow"/>
        <s v="Jennifer Gillespie"/>
        <s v="Linda Jones DDS"/>
        <s v="Craig Ruiz"/>
        <s v="Mr. Ronald Myers"/>
        <s v="Susan Morgan"/>
        <s v="Thomas Gates DDS"/>
        <s v="Jonathan Anderson"/>
        <s v="Tamara Green"/>
        <s v="Gregory West"/>
        <s v="Daniel Booth"/>
        <s v="Perry Mason"/>
        <s v="Mr. William Chambers"/>
        <s v="William Bernard"/>
        <s v="Deanna Bailey"/>
        <s v="James Singleton"/>
        <s v="Calvin Hanson"/>
        <s v="Julie Miller"/>
        <s v="Evan Hanna"/>
        <s v="Robert Lawrence"/>
        <s v="Jennifer Mckenzie"/>
        <s v="Michael Rodriguez"/>
        <s v="Bryan Rivera"/>
        <s v="Erica Reyes"/>
        <s v="Katie Medina"/>
        <s v="Noah Mason"/>
        <s v="Christy Brown"/>
        <s v="Patricia Parrish"/>
        <s v="Aaron Anderson"/>
        <s v="Morgan Wood"/>
        <s v="Parker Fernandez"/>
        <s v="Denise Everett"/>
        <s v="Jason Brown"/>
        <s v="Travis Turner"/>
        <s v="Kenneth Jacobs"/>
        <s v="Susan Davis"/>
        <s v="Katherine Morgan"/>
        <s v="Tyler Rogers"/>
        <s v="Deborah Phillips MD"/>
        <s v="Laura Lyons"/>
        <s v="Steve Matthews"/>
        <s v="Theresa Turner"/>
        <s v="Anthony Miles"/>
        <s v="Rachel Collier"/>
        <s v="Ann Reed"/>
        <s v="Danielle Marshall"/>
        <s v="Amanda Craig"/>
        <s v="Claire Garcia"/>
        <s v="Scott Whitaker"/>
        <s v="Danielle Foster"/>
        <s v="Juan Robinson"/>
        <s v="Maureen Barber"/>
        <s v="Nathaniel Tran"/>
        <s v="Nathan Underwood"/>
        <s v="Amy Scott"/>
        <s v="Kathleen Mclaughlin"/>
        <s v="Shawn Brown"/>
        <s v="Brittany Nelson"/>
        <s v="Richard Douglas DDS"/>
        <s v="Patrick Davidson"/>
        <s v="Crystal Pierce"/>
        <s v="Jane Williams"/>
        <s v="Jasmine Roberts"/>
        <s v="Kelsey Lewis"/>
        <s v="George Thomas"/>
        <s v="Stephanie Collins"/>
        <s v="Jessica Yates"/>
        <s v="Jason Ball"/>
        <s v="Kelli Barr"/>
        <s v="Molly Mendez"/>
        <s v="Stephanie Thomas"/>
        <s v="Kimberly Boone"/>
        <s v="Maria Cooper"/>
        <s v="Kristy Fields"/>
        <s v="Michelle Conway"/>
        <s v="Matthew Bryant"/>
        <s v="Jennifer Ford"/>
        <s v="Shannon Scott"/>
        <s v="Brenda Barrett"/>
        <s v="James Ford"/>
        <s v="Sarah Roberts"/>
        <s v="Johnny Smith"/>
        <s v="Jeffrey Davis"/>
        <s v="Terrance Swanson"/>
        <s v="Hayden Rose"/>
        <s v="Cory Black"/>
        <s v="Candice Shea"/>
        <s v="Phyllis Vasquez"/>
        <s v="Greg Hernandez"/>
        <s v="Janet Patterson"/>
        <s v="Jamie Davis"/>
        <s v="Diane Rodriguez"/>
        <s v="Jenna Woodward"/>
        <s v="Victoria English"/>
        <s v="James Wolfe"/>
        <s v="Pamela Mcdonald"/>
        <s v="Benjamin Bennett"/>
        <s v="Aaron Norton"/>
        <s v="Jennifer Morris DVM"/>
        <s v="Calvin Mays"/>
        <s v="Thomas Clark"/>
        <s v="Nicholas Mccullough"/>
        <s v="Nicholas Brown"/>
        <s v="Briana Romero"/>
        <s v="Thomas Gonzalez"/>
        <s v="Vanessa Bryan"/>
        <s v="Miranda Smith"/>
        <s v="Heather Gonzalez"/>
        <s v="Mr. Mark Smith"/>
        <s v="Alyssa Pierce"/>
        <s v="Michael Serrano"/>
        <s v="Eduardo Beasley"/>
        <s v="Heather Reed"/>
        <s v="Randy Deleon"/>
        <s v="Gregory Patrick"/>
        <s v="Jennifer Brown"/>
        <s v="Michelle Kelley"/>
        <s v="Ann Huff"/>
        <s v="Briana Cannon"/>
        <s v="Dennis Santana"/>
        <s v="Robert Baxter"/>
        <s v="Tim Carlson"/>
        <s v="Tracy Mooney"/>
        <s v="Raymond Robertson"/>
        <s v="Thomas Gutierrez"/>
        <s v="Elizabeth Cross"/>
        <s v="Tammy Mckee MD"/>
        <s v="Steven Fitzgerald"/>
        <s v="Tonya Nicholson DVM"/>
        <s v="Christian Adams"/>
        <s v="Autumn Parker"/>
        <s v="Christopher Brandt"/>
        <s v="Brian Torres"/>
        <s v="Kimberly Levine"/>
        <s v="Erik Williams"/>
        <s v="David Greene"/>
        <s v="Connie Wagner"/>
        <s v="Brandon Lin"/>
        <s v="Raymond Heath"/>
        <s v="Todd Parker"/>
        <s v="Kayla Jackson"/>
        <s v="David Williams"/>
        <s v="Cheyenne Harper"/>
        <s v="James Allen"/>
        <s v="Zachary Rhodes"/>
        <s v="Jessica Morgan"/>
        <s v="Melinda Martinez"/>
        <s v="Travis Murphy"/>
        <s v="Mary Stephens"/>
        <s v="Matthew Turner"/>
        <s v="Jennifer Davis"/>
        <s v="Theresa Murray"/>
        <s v="Bonnie Christensen"/>
        <s v="Daniel Smith"/>
        <s v="Heather Rogers"/>
        <s v="Kyle Moore"/>
        <s v="Joseph Shea"/>
        <s v="Michele Martinez"/>
        <s v="Eric Myers"/>
        <s v="Timothy Lee"/>
        <s v="Donald Rodriguez"/>
        <s v="Jason Cooper MD"/>
        <s v="Randy Marquez PhD"/>
        <s v="Jamie Velasquez"/>
        <s v="Linda Morris"/>
        <s v="Natalie Jackson"/>
        <s v="Juan Johnson"/>
        <s v="Nicole Hammond"/>
        <s v="Adam Mcintyre"/>
        <s v="Courtney Fleming"/>
        <s v="Melissa Hill"/>
        <s v="Brittany Smith"/>
        <s v="Jason Rice DVM"/>
        <s v="Katherine Schmidt"/>
        <s v="Justin Baxter"/>
        <s v="Rebecca Patton"/>
        <s v="Tiffany Hodges"/>
        <s v="Crystal Hart"/>
        <s v="Pamela Alvarez"/>
        <s v="Barry Caldwell"/>
        <s v="Megan Martin"/>
        <s v="Elizabeth Richardson"/>
        <s v="Michael Nelson"/>
        <s v="Christopher Moon"/>
        <s v="Laura Simpson"/>
        <s v="Jennifer Lee"/>
        <s v="Raymond Gonzalez"/>
        <s v="Debra Coleman"/>
        <s v="Mr. Kevin Gomez"/>
        <s v="Aaron Phillips"/>
        <s v="David Johnson"/>
        <s v="Sandra Hall"/>
        <s v="Julie Campbell"/>
        <s v="Brandon Raymond"/>
        <s v="Mr. Dustin Bridges"/>
        <s v="Dustin Jones"/>
        <s v="Jennifer Giles"/>
        <s v="Donald Glenn"/>
        <s v="Tim Flores"/>
        <s v="Sarah Wilson"/>
        <s v="Leah Foster"/>
        <s v="Bernard Myers"/>
        <s v="Margaret Chapman"/>
        <s v="Kevin Curry"/>
        <s v="Mallory Powell"/>
        <s v="Melissa Jordan"/>
        <s v="Tammy Zavala"/>
        <s v="Dominique Ferguson"/>
        <s v="Shannon Strickland"/>
        <s v="Jennifer Flores"/>
        <s v="Katherine Blevins PhD"/>
        <s v="Gregory Douglas"/>
        <s v="James Miranda"/>
        <s v="Frederick Lee"/>
        <s v="Valerie Johnson"/>
        <s v="John Wolf"/>
        <s v="Bryan Cowan"/>
        <s v="Jorge Mccullough"/>
        <s v="Nathaniel Franklin"/>
        <s v="Sean Snow"/>
        <s v="Kristen Romero"/>
        <s v="David Mcbride"/>
        <s v="Eric Mason"/>
        <s v="Vanessa Allen"/>
        <s v="Emily Griffin"/>
        <s v="Christopher Benjamin"/>
        <s v="Audrey Morrison"/>
        <s v="Richard Estrada"/>
        <s v="Melanie Marquez"/>
        <s v="Kristen Torres"/>
        <s v="John Williams"/>
        <s v="William Beltran"/>
        <s v="Angela Smith"/>
        <s v="Annette James"/>
        <s v="Jennifer Thompson"/>
        <s v="Timothy Camacho"/>
        <s v="Angela Krueger"/>
        <s v="Wayne Dominguez"/>
        <s v="Holly Hurst"/>
        <s v="Jason Rice"/>
        <s v="Karen Smith"/>
        <s v="Mitchell Good"/>
        <s v="Katherine Vaughan"/>
        <s v="Christina Warren"/>
        <s v="Jeremy Weaver"/>
        <s v="Thomas Forbes"/>
        <s v="Sandy Martin"/>
        <s v="Jordan Roberts"/>
        <s v="Allison Mcintosh"/>
        <s v="Chelsea Coleman"/>
        <s v="Paul Barker"/>
        <s v="Karen Walker"/>
        <s v="Jeffrey Hill"/>
        <s v="Nicholas Peterson"/>
        <s v="Carolyn Hill"/>
        <s v="Taylor Martin"/>
        <s v="Brenda Robinson"/>
        <s v="Ariana Carroll"/>
        <s v="Nancy Lee DVM"/>
        <s v="Brianna Stanley"/>
        <s v="Jamie Crosby"/>
        <s v="Nicole Frank"/>
        <s v="Lauren Carney"/>
        <s v="Debra Cook"/>
        <s v="Jennifer Lopez"/>
        <s v="Debbie Thomas"/>
        <s v="Tyrone Lloyd"/>
        <s v="Wayne Simmons"/>
        <s v="Michael Houston"/>
        <s v="Antonio Payne"/>
        <s v="Terry Vang"/>
        <s v="Mary Padilla"/>
        <s v="Tabitha Carrillo"/>
        <s v="Peter Miller"/>
        <s v="Kelsey Moore"/>
        <s v="James Hill"/>
        <s v="Nathan Vasquez"/>
        <s v="Daniel Frazier"/>
        <s v="Julie Parks"/>
        <s v="Albert Obrien"/>
        <s v="Miguel Frey"/>
        <s v="Aimee Lopez"/>
        <s v="Jennifer Olsen"/>
        <s v="Carla Payne"/>
        <s v="Erica Lawrence"/>
        <s v="Daniel Alvarez"/>
        <s v="Gregory Murphy"/>
        <s v="Scott Parker"/>
        <s v="Jeffrey Baker"/>
        <s v="Christopher Rodgers DDS"/>
        <s v="Carmen Richards"/>
        <s v="Sherry Hernandez"/>
        <s v="Shelley Pope"/>
        <s v="Mary Larson"/>
        <s v="John Shelton"/>
        <s v="Thomas Mora"/>
        <s v="Carlos Smith"/>
        <s v="Jessica Hall"/>
        <s v="Christina Lozano"/>
        <s v="Kimberly Avila"/>
        <s v="Donald Stewart"/>
        <s v="Eric Wise"/>
        <s v="Zachary Montoya"/>
        <s v="Christine Bautista"/>
        <s v="Gabrielle Parrish"/>
        <s v="Mark Martin"/>
        <s v="James Mcguire"/>
        <s v="Brian Baker"/>
        <s v="Ms. Kristie Cook"/>
        <s v="Derrick Arias"/>
        <s v="Robert Gillespie"/>
        <s v="Amber Gibbs"/>
        <s v="Anna Gillespie"/>
        <s v="Katelyn Reilly"/>
        <s v="Justin Williams"/>
        <s v="Amber Miller"/>
        <s v="Lawrence Washington"/>
        <s v="Sheila Brown"/>
        <s v="Chris Huffman PhD"/>
        <s v="Tammy Miller"/>
        <s v="Danielle Singh"/>
        <s v="Molly Hudson"/>
        <s v="Rick Schmitt"/>
        <s v="Sheryl Williams"/>
        <s v="Courtney Griffin"/>
        <s v="Brandon Cox"/>
        <s v="Robert Gardner"/>
        <s v="Emily Jordan"/>
        <s v="Gilbert Moore"/>
        <s v="Sean Henry"/>
        <s v="Stephen Hunt"/>
        <s v="Kimberly Graves"/>
        <s v="Amanda Sampson"/>
        <s v="Danielle Cox"/>
        <s v="Kathryn Robbins"/>
        <s v="Amber Johnson"/>
        <s v="Maria Tran"/>
        <s v="Deanna Lawson"/>
        <s v="John Hines"/>
        <s v="David Byrd"/>
        <s v="Michaela Ponce"/>
        <s v="James Camacho"/>
        <s v="Trevor Scott"/>
        <s v="Clinton Schneider"/>
        <s v="Krystal Turner"/>
        <s v="Susan Gutierrez"/>
        <s v="Heather Perez"/>
        <s v="Andre Gonzalez"/>
        <s v="Paul Mcdonald"/>
        <s v="Cheryl Wang"/>
        <s v="Jacob Vega"/>
        <s v="Kelly Morris"/>
        <s v="Pamela Hughes"/>
        <s v="Michelle Carr"/>
        <s v="Arthur Powell"/>
        <s v="Tracy Cuevas"/>
        <s v="Kaitlin Curtis"/>
        <s v="James Horton"/>
        <s v="Cynthia Brown"/>
        <s v="Trevor Bass"/>
        <s v="Samuel Johnson"/>
        <s v="Ryan Hunt"/>
        <s v="Amanda Green"/>
        <s v="Benjamin Hancock"/>
        <s v="Denise Vincent"/>
        <s v="Nicole Cox"/>
        <s v="John Perez"/>
        <s v="Bobby Williamson"/>
        <s v="Tracie Paul"/>
        <s v="Matthew Sandoval"/>
        <s v="Veronica Sanchez"/>
        <s v="William Price"/>
        <s v="Robert Wright"/>
        <s v="Susan Blake"/>
        <s v="John Gutierrez"/>
        <s v="Matthew Roberts"/>
        <s v="Ronald Sandoval"/>
        <s v="Anthony Ingram"/>
        <s v="Adam Lopez"/>
        <s v="Debra White"/>
        <s v="Monica Moody"/>
        <s v="Frank Jenkins"/>
        <s v="Nicole Smith"/>
        <s v="Gerald Diaz"/>
        <s v="Caitlin Cline"/>
        <s v="Jason Richards"/>
        <s v="Ryan Rojas"/>
        <s v="Shawn Pena"/>
        <s v="Charles Duncan"/>
        <s v="James Farmer"/>
        <s v="Makayla Smith"/>
        <s v="Candace Jones"/>
        <s v="Nicholas Quinn"/>
        <s v="Roy Cohen PhD"/>
        <s v="Jeremy Brown"/>
        <s v="Jay Silva"/>
        <s v="Nicole Crawford"/>
        <s v="Shawn Baker"/>
        <s v="Veronica Wilson"/>
        <s v="Michael Miller"/>
        <s v="Shannon Jackson"/>
        <s v="John Moore"/>
        <s v="Dean Adams"/>
        <s v="Michael Cohen"/>
        <s v="Jennifer Kelley"/>
        <s v="Thomas Riley"/>
        <s v="Daniel Armstrong"/>
        <s v="Isaac Watson"/>
        <s v="Richard Watson"/>
        <s v="Dawn Williams"/>
        <s v="Annette Stein"/>
        <s v="Eric Porter"/>
        <s v="Justin Rose"/>
        <s v="Matthew Rojas"/>
        <s v="Tamara Hernandez"/>
        <s v="Justin Webb"/>
        <s v="Robin Murphy"/>
        <s v="Kathy Burch"/>
        <s v="Ruben Black"/>
        <s v="Mr. David Moore DDS"/>
        <s v="Jessica Costa"/>
        <s v="Tricia Martin"/>
        <s v="Jeffrey Allison"/>
        <s v="Stephen Mercado"/>
        <s v="Angel Soto"/>
        <s v="Jessica Evans"/>
        <s v="Christine Wyatt MD"/>
        <s v="Anthony York"/>
        <s v="Tricia Hamilton"/>
        <s v="Selena Foster"/>
        <s v="Mr. Brendan Stone"/>
        <s v="Susan Keith"/>
        <s v="Beth Garcia"/>
        <s v="Nathaniel Morgan"/>
        <s v="Kyle Ponce"/>
        <s v="Lori Steele"/>
        <s v="Theresa Collins"/>
        <s v="Melissa Simpson"/>
        <s v="James Rodriguez"/>
        <s v="Roger Kent"/>
        <s v="Jack Gonzalez"/>
        <s v="Monica Singh"/>
        <s v="Bryce Stokes"/>
        <s v="Billy George"/>
        <s v="Yolanda Wall"/>
        <s v="Rebekah Robinson"/>
        <s v="Carrie Jimenez"/>
        <s v="Chelsea Dunn"/>
        <s v="James Adams"/>
        <s v="Kevin Marquez"/>
        <s v="Sarah Weaver"/>
        <s v="Steven Cross"/>
        <s v="Michael Yu"/>
        <s v="John Roy"/>
        <s v="Gabrielle Martinez"/>
        <s v="Kimberly Fernandez"/>
        <s v="Diana Hernandez"/>
        <s v="Benjamin Olson"/>
        <s v="Heather Nash"/>
        <s v="Kristen Johnson"/>
        <s v="Carrie Byrd"/>
        <s v="Fred Moore"/>
        <s v="Jennifer Miller"/>
        <s v="Christopher Mills"/>
        <s v="Dawn Robinson"/>
        <s v="Kyle Chapman"/>
        <s v="Joseph Harrell"/>
        <s v="Ray Nielsen"/>
        <s v="Jordan Martinez"/>
        <s v="William Olson"/>
        <s v="Lance Foster"/>
        <s v="Ariel Short"/>
        <s v="Christine Williams"/>
        <s v="Samantha Marshall"/>
        <s v="Megan Reed"/>
        <s v="Andre Sutton"/>
        <s v="Megan Garcia"/>
        <s v="Charles Parker"/>
        <s v="Robert Bell"/>
        <s v="Bradley Barton"/>
        <s v="Carlos Rodriguez"/>
        <s v="Rebecca Campbell"/>
        <s v="Andrew Kelly"/>
        <s v="Noah Moore"/>
        <s v="Gail Fletcher"/>
        <s v="Jenna Williams"/>
        <s v="Aaron Jones"/>
        <s v="Holly Kramer"/>
        <s v="Marvin Henderson Jr."/>
        <s v="Jessica Wiley"/>
        <s v="Ryan Moran"/>
        <s v="Taylor Whitaker"/>
        <s v="Kevin Baker"/>
        <s v="Jordan Gibson"/>
        <s v="Kathryn Knight"/>
        <s v="Mr. Noah Adams PhD"/>
        <s v="Peter Fisher"/>
        <s v="Kenneth Henson"/>
        <s v="Susan Snyder"/>
        <s v="Jennifer Wheeler"/>
        <s v="Scott Barton"/>
        <s v="Cynthia Bennett"/>
        <s v="Meghan Phelps"/>
        <s v="Ronald Mccann"/>
        <s v="Cristina Carter"/>
        <s v="Glenn Simpson"/>
        <s v="Arthur Colon"/>
        <s v="John Hart"/>
        <s v="Erica Lewis"/>
        <s v="Sarah Moore"/>
        <s v="Clayton Duke"/>
        <s v="Sarah Rodgers"/>
        <s v="Mr. Ryan Andrade"/>
        <s v="Amber Pierce"/>
        <s v="Breanna Perkins"/>
        <s v="Angela Mclean"/>
        <s v="Michelle Adams MD"/>
        <s v="Frank Rodriguez"/>
        <s v="Arthur Caldwell"/>
        <s v="Lori Mueller"/>
        <s v="John Fleming"/>
        <s v="Dr. Brian Cole"/>
        <s v="John Flores"/>
        <s v="Kyle Hinton"/>
        <s v="Cassandra Hunt"/>
        <s v="Mr. Robert Dean DDS"/>
        <s v="Bryan James"/>
        <s v="Bruce Lane"/>
        <s v="David Anderson"/>
        <s v="Noah Clark"/>
        <s v="Sandra Rojas"/>
        <s v="Colton Fisher"/>
        <s v="Tonya Ross"/>
        <s v="Christian Vasquez"/>
        <s v="Valerie Shepard"/>
        <s v="Marvin Jacobson"/>
        <s v="Alyssa Vasquez"/>
        <s v="Alison Villegas"/>
        <s v="Stephen Thompson"/>
        <s v="Daniel Sanchez"/>
        <s v="Lauren Collins"/>
        <s v="Scott Davis"/>
        <s v="Isaiah Pace"/>
        <s v="Tyler Davis"/>
        <s v="Dr. Michele Mendoza"/>
        <s v="Ruth Jones"/>
        <s v="Jennifer Thomas"/>
        <s v="Brandon Barnes"/>
        <s v="Jose Gutierrez"/>
        <s v="David Briggs"/>
        <s v="Jessica Hill"/>
        <s v="John Villegas"/>
        <s v="Justin Neal"/>
        <s v="Melissa Horn"/>
        <s v="Hector Sullivan"/>
        <s v="Devin Gonzales"/>
        <s v="Henry Carter"/>
        <s v="Kelly Bell"/>
        <s v="Brittney Caldwell"/>
        <s v="Allison Mccullough DDS"/>
        <s v="Rachael Smith"/>
        <s v="Natalie Ramsey"/>
        <s v="Mr. Cameron Jones Jr."/>
        <s v="Kevin Parrish"/>
        <s v="Maria Brewer"/>
        <s v="Kathryn Mendoza"/>
        <s v="Jonathon Faulkner"/>
        <s v="Alicia Potter"/>
        <s v="Jennifer Sanchez"/>
        <s v="Joseph Ryan"/>
        <s v="Richard Rodriguez"/>
        <s v="Melissa Montoya"/>
        <s v="Victoria Jones"/>
        <s v="Kerry Blevins"/>
        <s v="Anthony Mccullough"/>
        <s v="Stephanie Shepherd"/>
        <s v="Brian Bender"/>
        <s v="Roberto Small"/>
        <s v="Robert Knight"/>
        <s v="Dustin Maddox"/>
        <s v="Shelley Griffith"/>
        <s v="Brent Clark"/>
        <s v="Edward Burns"/>
        <s v="Anna Campbell"/>
        <s v="Lauren Martinez"/>
        <s v="Heather Mitchell"/>
        <s v="Jeffrey Smith"/>
        <s v="Andrew Allen"/>
        <s v="Steven Brown"/>
        <s v="Melissa Lawrence DDS"/>
        <s v="Aaron Vasquez"/>
        <s v="Kelly Campbell"/>
        <s v="Robert Morgan"/>
        <s v="David Larson"/>
        <s v="Kristy Hoffman"/>
        <s v="Max Garcia"/>
        <s v="Stacey Frazier"/>
        <s v="Latoya Martin"/>
        <s v="Karina Salas"/>
        <s v="Robert Byrd"/>
        <s v="Emma Montoya"/>
        <s v="Joann Hardy"/>
        <s v="Ryan Welch"/>
        <s v="Brett Pace"/>
        <s v="Steven Gray"/>
        <s v="Ryan Curry"/>
        <s v="Penny Smith"/>
        <s v="Dana Horton"/>
        <s v="Christy Shelton"/>
        <s v="Kevin Castaneda"/>
        <s v="Olivia Hughes"/>
        <s v="Shelley Woodward"/>
        <s v="Dominic Tanner"/>
        <s v="Christopher Wilson"/>
        <s v="Allison Farmer"/>
        <s v="David Hunter"/>
        <s v="Jonathan Sloan"/>
        <s v="Harold Johnson"/>
        <s v="Monique Williams"/>
        <s v="Trevor Le"/>
        <s v="Nicole Boyd"/>
        <s v="Brian George"/>
        <s v="Deanna Velasquez"/>
        <s v="Brittany Armstrong"/>
        <s v="John Wang"/>
        <s v="Michael Taylor"/>
        <s v="Kimberly Heath MD"/>
        <s v="Donald Walker"/>
        <s v="Lisa Warren"/>
        <s v="Richard Anderson"/>
        <s v="Anthony Wilson"/>
        <s v="David Leonard"/>
        <s v="Samantha Schwartz"/>
        <s v="Leroy Cummings"/>
        <s v="Terry Sosa"/>
        <s v="Devin Davis"/>
        <s v="Michael Wong"/>
        <s v="Katie Curtis"/>
        <s v="Micheal Stanton"/>
        <s v="William Crawford"/>
        <s v="Taylor Rubio"/>
        <s v="Mrs. Jasmine Rios"/>
        <s v="Natasha Peterson"/>
        <s v="Kyle Russell"/>
        <s v="Amanda Singh"/>
        <s v="Nancy Smith"/>
        <s v="Ryan Bowman"/>
        <s v="Thomas Rodgers"/>
        <s v="Roger Williams"/>
        <s v="Debra Hansen"/>
        <s v="Linda Myers"/>
        <s v="Nathaniel Anderson"/>
        <s v="Debra Hill"/>
        <s v="Jose Williams"/>
        <s v="Martin Mccarthy"/>
        <s v="Vicki Vaughan"/>
        <s v="Philip Shannon"/>
        <s v="Anthony Vasquez"/>
        <s v="Cory Sheppard"/>
        <s v="Timothy Montoya"/>
        <s v="Nancy James"/>
        <s v="Keith Mcdowell"/>
        <s v="James Dixon"/>
        <s v="Heather Franklin"/>
        <s v="Tiffany Ward"/>
        <s v="Dillon Anderson"/>
        <s v="Emily Brown"/>
        <s v="Vanessa Dunn"/>
        <s v="Richard Martinez"/>
        <s v="Richard Wilson"/>
        <s v="Rhonda Taylor"/>
        <s v="Jason Rowe MD"/>
        <s v="Mark Rodriguez"/>
        <s v="Misty Gregory"/>
        <s v="Edward Smith"/>
        <s v="Joshua Lee"/>
        <s v="Susan Rivera"/>
        <s v="Shannon King"/>
        <s v="Karen Travis"/>
        <s v="Joyce Pace"/>
        <s v="Jeffrey Rice"/>
        <s v="Lori Richardson"/>
        <s v="Alexandria Williams"/>
        <s v="Jerry Weaver"/>
        <s v="Tara Wilson"/>
        <s v="Matthew Cox"/>
        <s v="Amber Hunt"/>
        <s v="Claire Griffin"/>
        <s v="Richard Simon"/>
        <s v="Tammy Lawrence"/>
        <s v="Paul Shaw"/>
        <s v="Robert Walker"/>
        <s v="Carolyn Mendez"/>
        <s v="Kimberly Mosley"/>
        <s v="Michael Johnson"/>
        <s v="James Solis"/>
        <s v="Stephen Walker"/>
        <s v="Karen Reyes"/>
        <s v="Katie Smith"/>
        <s v="John Durham"/>
        <s v="Dr. Jesse Sanchez"/>
        <s v="Brian Clay"/>
        <s v="Crystal Martin"/>
        <s v="Tammy Oconnor"/>
        <s v="Alexander Jones"/>
        <s v="Thomas Mcdonald"/>
        <s v="Jason Davis"/>
        <s v="Mr. Donald Martinez"/>
        <s v="Bruce Lewis"/>
        <s v="Nichole Cohen"/>
        <s v="Dr. Bailey Campos"/>
        <s v="Sarah Turner"/>
        <s v="Shawn Wolfe"/>
        <s v="Christopher Webb MD"/>
        <s v="Mark Martinez"/>
        <s v="Debra Nelson"/>
        <s v="Shawna Wolf"/>
        <s v="Susan Sexton"/>
        <s v="Christina Williams"/>
        <s v="Lee Underwood"/>
        <s v="Paul Blankenship"/>
        <s v="John Carlson"/>
        <s v="Jessica Young"/>
        <s v="Michael Glenn"/>
        <s v="Russell Johnson"/>
        <s v="Joseph Tran"/>
        <s v="Brittney Williams"/>
        <s v="Michael Brown"/>
        <s v="Theresa Andersen"/>
        <s v="John Davis"/>
        <s v="Emma Garrett"/>
        <s v="Patricia Lara"/>
        <s v="Daniel Davis"/>
        <s v="Aaron Smith"/>
        <s v="Patrick Pacheco"/>
        <s v="Donna Wright"/>
        <s v="Kari Thompson"/>
        <s v="Madison Hancock"/>
        <s v="Jason Martin"/>
        <s v="Sonia Hunt"/>
        <s v="Aaron Lewis"/>
        <s v="Robert Carter"/>
        <s v="Allison Parker"/>
        <s v="Allen Armstrong"/>
        <s v="Jeffrey Snyder"/>
        <s v="Jennifer Houston"/>
        <s v="James Norris"/>
        <s v="Carl Beard"/>
        <s v="Mr. Nathaniel Phillips"/>
        <s v="Tracy Rasmussen"/>
        <s v="Lisa Johnson"/>
        <s v="Tiffany Jacobs"/>
        <s v="Patricia Stephenson"/>
        <s v="Kristin Williams"/>
        <s v="Laura Newton"/>
        <s v="Cynthia Miller"/>
        <s v="Jacqueline Mason"/>
        <s v="Kara Hill"/>
        <s v="Johnny Bush"/>
        <s v="Brandon Butler"/>
        <s v="Carol Young"/>
        <s v="Autumn Huang"/>
        <s v="Katie Moreno"/>
        <s v="Jesus Garcia"/>
        <s v="Christine Walker"/>
        <s v="Ashley Wilson"/>
        <s v="Christopher Ayala"/>
        <s v="Robert Evans"/>
        <s v="Elizabeth Eaton"/>
        <s v="Dr. Julia Ford MD"/>
        <s v="Jackie Garcia"/>
        <s v="Mark Davis"/>
        <s v="Ronald Pruitt"/>
        <s v="Brenda Stephens"/>
        <s v="Matthew Gibbs"/>
        <s v="Bobby Martinez"/>
        <s v="Denise Owens MD"/>
        <s v="Ana Hunt"/>
        <s v="Barbara Scott"/>
        <s v="Joshua Garcia"/>
        <s v="Peggy Rodriguez"/>
        <s v="Travis Becker"/>
        <s v="Kristen Rocha"/>
        <s v="Derrick Bentley"/>
        <s v="Tina Duffy"/>
        <s v="Kayla Estrada"/>
        <s v="Thomas Gilbert"/>
        <s v="Laura Cooper"/>
        <s v="Ryan Walters"/>
        <s v="Dr. Samuel Hancock"/>
        <s v="Megan Miller"/>
        <s v="Claudia Flores"/>
        <s v="Joy Hogan"/>
        <s v="Clayton Parker"/>
        <s v="Andrea Davila"/>
        <s v="Stephanie Davis"/>
        <s v="George Jackson"/>
        <s v="Eric Anderson"/>
        <s v="Tiffany Young"/>
        <s v="Linda Turner"/>
        <s v="Alexander Wallace"/>
        <s v="Joshua Brooks"/>
        <s v="Andrew Reed"/>
        <s v="Ricardo Lynch"/>
        <s v="Joshua Beck"/>
        <s v="Mrs. Wendy Lopez"/>
        <s v="Adam Osborn"/>
        <s v="Teresa Price"/>
        <s v="Samuel Harris"/>
        <s v="Richard Medina"/>
        <s v="Carl Ramos"/>
        <s v="Mary Perez MD"/>
        <s v="Nichole Crane"/>
        <s v="Janet Butler"/>
        <s v="Crystal Sanders"/>
        <s v="Wyatt Thomas"/>
        <s v="Jerry Oconnor"/>
        <s v="Kerry Martinez"/>
        <s v="Marc Avila"/>
        <s v="Jessica Adams"/>
        <s v="Jordan Harris"/>
        <s v="Kristin Delgado"/>
        <s v="Patricia Davis"/>
        <s v="Danielle Pugh"/>
        <s v="Benjamin Church"/>
        <s v="Chelsea Stevens"/>
        <s v="Brandon Henry"/>
        <s v="Jordan Murray"/>
        <s v="Michele Reyes"/>
        <s v="Roger Hobbs"/>
        <s v="Kimberly Aguirre"/>
        <s v="Cameron Lozano"/>
        <s v="Megan Moore"/>
        <s v="Joseph Dickerson"/>
        <s v="Allen Parker"/>
        <s v="Amanda Petersen"/>
        <s v="Brandi Clark"/>
        <s v="Angel Deleon"/>
        <s v="Stacey Warner"/>
        <s v="Sherry Salas"/>
        <s v="Daniel Moore"/>
        <s v="Jeanette Allison"/>
        <s v="Wanda Hoffman"/>
        <s v="Carl Robles"/>
        <s v="Spencer White"/>
        <s v="Christopher Kennedy"/>
        <s v="Taylor Richardson"/>
        <s v="Pedro Smith"/>
        <s v="Elizabeth Thomas"/>
        <s v="John Castillo"/>
        <s v="Angela Harmon"/>
        <s v="Christopher Hernandez"/>
        <s v="Madison Wright"/>
        <s v="James Sanchez"/>
        <s v="Cindy Perkins"/>
        <s v="Garrett Holmes"/>
        <s v="Jason Brady"/>
        <s v="Angela Johnson"/>
        <s v="Jeffrey Wood"/>
        <s v="Hannah Patel"/>
        <s v="Jack Cole"/>
        <s v="Tracy Thomas"/>
        <s v="Robin Smith"/>
        <s v="Jessica Burton"/>
        <s v="Stephen Schmidt"/>
        <s v="Alexander Vazquez"/>
        <s v="Gerald Ellis"/>
        <s v="Heather Cruz"/>
        <s v="Joshua Duncan"/>
        <s v="Alicia Walton"/>
        <s v="Denise May"/>
        <s v="David Graham"/>
        <s v="Jerry Johnson"/>
        <s v="Emily Carlson"/>
        <s v="Jennifer Brown DDS"/>
        <s v="Colton Brady"/>
        <s v="Duane Davidson"/>
        <s v="Parker Smith"/>
        <s v="Amanda Gardner"/>
        <s v="Dr. Richard Preston"/>
        <s v="Daniel Chapman"/>
        <s v="Nicholas Williams"/>
        <s v="Betty Mccormick"/>
        <s v="Mary Saunders"/>
        <s v="Jackie Rodriguez"/>
        <s v="James Miles"/>
        <s v="Laurie Carlson"/>
        <s v="Elizabeth Hines"/>
        <s v="Desiree Baldwin"/>
        <s v="Thomas Harris"/>
        <s v="Melinda Carter"/>
        <s v="Ryan Gray"/>
        <s v="Kelly Wilson"/>
        <s v="Stephanie Watts"/>
        <s v="Kristen Lane"/>
        <s v="Andrea Orozco"/>
        <s v="Derek Shepherd"/>
        <s v="Elizabeth Goodwin"/>
        <s v="Michael Haley"/>
        <s v="Michelle Newman"/>
        <s v="Rebecca Marsh"/>
        <s v="Brandy Duffy"/>
        <s v="Heidi Green"/>
        <s v="Pamela Myers"/>
        <s v="Zachary Reed"/>
        <s v="Anne Patton"/>
        <s v="Heather Tucker"/>
        <s v="Jonathan Neal"/>
        <s v="William Richardson"/>
        <s v="Allison Floyd"/>
        <s v="Kenneth Barnett"/>
        <s v="Samuel Sheppard"/>
        <s v="Hannah Romero"/>
        <s v="Rachael Maynard"/>
        <s v="Justin Smith"/>
        <s v="Robert Gonzalez"/>
        <s v="Caroline Dominguez"/>
        <s v="Matthew Marshall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2" maxValue="58"/>
    </cacheField>
    <cacheField name="city" numFmtId="0">
      <sharedItems/>
    </cacheField>
    <cacheField name="department" numFmtId="0">
      <sharedItems count="6">
        <s v="HR"/>
        <s v="Sales"/>
        <s v="IT"/>
        <s v="Operations"/>
        <s v="Finance"/>
        <s v="Marketing"/>
      </sharedItems>
    </cacheField>
    <cacheField name="job_role" numFmtId="0">
      <sharedItems/>
    </cacheField>
    <cacheField name="education_level" numFmtId="0">
      <sharedItems/>
    </cacheField>
    <cacheField name="experience_years" numFmtId="0">
      <sharedItems containsSemiMixedTypes="0" containsString="0" containsNumber="1" containsInteger="1" minValue="0" maxValue="37"/>
    </cacheField>
    <cacheField name="salary" numFmtId="0">
      <sharedItems containsSemiMixedTypes="0" containsString="0" containsNumber="1" containsInteger="1" minValue="30613" maxValue="178751"/>
    </cacheField>
    <cacheField name="attendance_percentage" numFmtId="0">
      <sharedItems containsSemiMixedTypes="0" containsString="0" containsNumber="1" minValue="65.010000000000005" maxValue="99.89"/>
    </cacheField>
    <cacheField name="projects_completed" numFmtId="0">
      <sharedItems containsSemiMixedTypes="0" containsString="0" containsNumber="1" containsInteger="1" minValue="1" maxValue="20"/>
    </cacheField>
    <cacheField name="overtime_hours" numFmtId="0">
      <sharedItems containsSemiMixedTypes="0" containsString="0" containsNumber="1" containsInteger="1" minValue="0" maxValue="60"/>
    </cacheField>
    <cacheField name="training_hours" numFmtId="0">
      <sharedItems containsSemiMixedTypes="0" containsString="0" containsNumber="1" containsInteger="1" minValue="5" maxValue="120"/>
    </cacheField>
    <cacheField name="job_satisfaction" numFmtId="0">
      <sharedItems/>
    </cacheField>
    <cacheField name="performance_score" numFmtId="0">
      <sharedItems containsSemiMixedTypes="0" containsString="0" containsNumber="1" minValue="3.14" maxValue="10" count="457">
        <n v="7.41"/>
        <n v="9.56"/>
        <n v="7.86"/>
        <n v="8.1199999999999992"/>
        <n v="8.07"/>
        <n v="8.0299999999999994"/>
        <n v="6.68"/>
        <n v="9.23"/>
        <n v="7.55"/>
        <n v="6.18"/>
        <n v="5.31"/>
        <n v="8.1300000000000008"/>
        <n v="8.42"/>
        <n v="4.51"/>
        <n v="5.38"/>
        <n v="7.54"/>
        <n v="7.34"/>
        <n v="9.36"/>
        <n v="6.12"/>
        <n v="9.5299999999999994"/>
        <n v="7.22"/>
        <n v="6.05"/>
        <n v="5.61"/>
        <n v="6.26"/>
        <n v="7.44"/>
        <n v="6.55"/>
        <n v="3.78"/>
        <n v="6.57"/>
        <n v="9.65"/>
        <n v="7.25"/>
        <n v="8.6199999999999992"/>
        <n v="6.47"/>
        <n v="5.37"/>
        <n v="9.2100000000000009"/>
        <n v="6.79"/>
        <n v="8.25"/>
        <n v="7.53"/>
        <n v="6.6"/>
        <n v="4.59"/>
        <n v="7.32"/>
        <n v="8.35"/>
        <n v="5.58"/>
        <n v="8.64"/>
        <n v="7.15"/>
        <n v="6.29"/>
        <n v="7.48"/>
        <n v="8.36"/>
        <n v="7.66"/>
        <n v="7.21"/>
        <n v="4.41"/>
        <n v="5.36"/>
        <n v="8.1999999999999993"/>
        <n v="9.51"/>
        <n v="9.7799999999999994"/>
        <n v="8.34"/>
        <n v="9.33"/>
        <n v="10"/>
        <n v="7.83"/>
        <n v="7.3"/>
        <n v="9.42"/>
        <n v="5.59"/>
        <n v="7.04"/>
        <n v="7.39"/>
        <n v="6.08"/>
        <n v="4.13"/>
        <n v="8.43"/>
        <n v="7.97"/>
        <n v="5.45"/>
        <n v="8.27"/>
        <n v="9.11"/>
        <n v="7.71"/>
        <n v="6.17"/>
        <n v="7.99"/>
        <n v="7.65"/>
        <n v="6.34"/>
        <n v="7.58"/>
        <n v="5.65"/>
        <n v="5.83"/>
        <n v="8.0500000000000007"/>
        <n v="7.9"/>
        <n v="7.75"/>
        <n v="9.9600000000000009"/>
        <n v="6.58"/>
        <n v="8.7799999999999994"/>
        <n v="9.7899999999999991"/>
        <n v="8.24"/>
        <n v="5.4"/>
        <n v="5.15"/>
        <n v="8.98"/>
        <n v="9.18"/>
        <n v="7.11"/>
        <n v="6.37"/>
        <n v="5.96"/>
        <n v="5.28"/>
        <n v="5.54"/>
        <n v="7.95"/>
        <n v="8.83"/>
        <n v="7.77"/>
        <n v="8.2899999999999991"/>
        <n v="7.88"/>
        <n v="8.16"/>
        <n v="7.92"/>
        <n v="7.35"/>
        <n v="9.1"/>
        <n v="6.01"/>
        <n v="8.11"/>
        <n v="7.5"/>
        <n v="6.93"/>
        <n v="6.8"/>
        <n v="6.82"/>
        <n v="7.76"/>
        <n v="9.24"/>
        <n v="6.76"/>
        <n v="8.49"/>
        <n v="7.59"/>
        <n v="6.97"/>
        <n v="7.74"/>
        <n v="7.52"/>
        <n v="8.9600000000000009"/>
        <n v="7.96"/>
        <n v="7.79"/>
        <n v="8.31"/>
        <n v="9"/>
        <n v="7.62"/>
        <n v="6.1"/>
        <n v="6.54"/>
        <n v="6.86"/>
        <n v="6.87"/>
        <n v="8.3000000000000007"/>
        <n v="7.05"/>
        <n v="9.4700000000000006"/>
        <n v="4.37"/>
        <n v="3.91"/>
        <n v="7.31"/>
        <n v="7.08"/>
        <n v="6.49"/>
        <n v="7.24"/>
        <n v="9.7100000000000009"/>
        <n v="8.32"/>
        <n v="7.2"/>
        <n v="7.51"/>
        <n v="8.06"/>
        <n v="4.45"/>
        <n v="5.63"/>
        <n v="3.41"/>
        <n v="5.46"/>
        <n v="6.27"/>
        <n v="6.51"/>
        <n v="4.99"/>
        <n v="7"/>
        <n v="8.0399999999999991"/>
        <n v="4.22"/>
        <n v="8.26"/>
        <n v="6.5"/>
        <n v="6.73"/>
        <n v="4.9000000000000004"/>
        <n v="8.39"/>
        <n v="8.58"/>
        <n v="6.66"/>
        <n v="7.42"/>
        <n v="8.77"/>
        <n v="7.46"/>
        <n v="4.12"/>
        <n v="8.56"/>
        <n v="6.07"/>
        <n v="6.53"/>
        <n v="7.85"/>
        <n v="7.61"/>
        <n v="7.84"/>
        <n v="7.18"/>
        <n v="6.75"/>
        <n v="6.83"/>
        <n v="6"/>
        <n v="7.28"/>
        <n v="6.98"/>
        <n v="8.99"/>
        <n v="6.4"/>
        <n v="6.22"/>
        <n v="8.09"/>
        <n v="6.64"/>
        <n v="9.17"/>
        <n v="5.55"/>
        <n v="5.78"/>
        <n v="7.67"/>
        <n v="6.88"/>
        <n v="6.67"/>
        <n v="5.64"/>
        <n v="6.42"/>
        <n v="6.43"/>
        <n v="6.24"/>
        <n v="8.6300000000000008"/>
        <n v="8.15"/>
        <n v="6.96"/>
        <n v="9.69"/>
        <n v="8.85"/>
        <n v="6.89"/>
        <n v="6.74"/>
        <n v="4.67"/>
        <n v="4.54"/>
        <n v="7.91"/>
        <n v="9.48"/>
        <n v="4.46"/>
        <n v="9.19"/>
        <n v="5.69"/>
        <n v="6.02"/>
        <n v="5.79"/>
        <n v="3.79"/>
        <n v="8.69"/>
        <n v="9.57"/>
        <n v="5.26"/>
        <n v="7.26"/>
        <n v="7.38"/>
        <n v="6.03"/>
        <n v="8.9499999999999993"/>
        <n v="8.65"/>
        <n v="9.8800000000000008"/>
        <n v="8.94"/>
        <n v="6.21"/>
        <n v="4.63"/>
        <n v="9.0399999999999991"/>
        <n v="7.17"/>
        <n v="6.45"/>
        <n v="6.7"/>
        <n v="7.01"/>
        <n v="7.47"/>
        <n v="7.4"/>
        <n v="6.59"/>
        <n v="8.76"/>
        <n v="6.52"/>
        <n v="8.02"/>
        <n v="6.09"/>
        <n v="5.86"/>
        <n v="9.99"/>
        <n v="8.68"/>
        <n v="6.84"/>
        <n v="6.77"/>
        <n v="8.9"/>
        <n v="9.02"/>
        <n v="8.5500000000000007"/>
        <n v="5.44"/>
        <n v="9.9499999999999993"/>
        <n v="8.82"/>
        <n v="6.3"/>
        <n v="6.69"/>
        <n v="6.31"/>
        <n v="5.81"/>
        <n v="7.82"/>
        <n v="7.94"/>
        <n v="7.73"/>
        <n v="8.93"/>
        <n v="6.92"/>
        <n v="9.64"/>
        <n v="8.18"/>
        <n v="4.78"/>
        <n v="4.8600000000000003"/>
        <n v="5.75"/>
        <n v="5.27"/>
        <n v="6.9"/>
        <n v="5.6"/>
        <n v="3.6"/>
        <n v="7.27"/>
        <n v="7.78"/>
        <n v="7.43"/>
        <n v="8.08"/>
        <n v="4.75"/>
        <n v="6.38"/>
        <n v="4.4400000000000004"/>
        <n v="9.1999999999999993"/>
        <n v="5.62"/>
        <n v="7.68"/>
        <n v="8.52"/>
        <n v="6.19"/>
        <n v="8.8699999999999992"/>
        <n v="4.93"/>
        <n v="7.81"/>
        <n v="8.57"/>
        <n v="6.62"/>
        <n v="3.82"/>
        <n v="9.39"/>
        <n v="8.14"/>
        <n v="8.4700000000000006"/>
        <n v="5.0599999999999996"/>
        <n v="9.2799999999999994"/>
        <n v="5.91"/>
        <n v="8.2799999999999994"/>
        <n v="9.5399999999999991"/>
        <n v="6.91"/>
        <n v="6.71"/>
        <n v="7.12"/>
        <n v="8.5"/>
        <n v="4.3899999999999997"/>
        <n v="9.49"/>
        <n v="9.3699999999999992"/>
        <n v="7.8"/>
        <n v="5.95"/>
        <n v="5.66"/>
        <n v="5.04"/>
        <n v="8.23"/>
        <n v="6.11"/>
        <n v="9.52"/>
        <n v="6.32"/>
        <n v="6.33"/>
        <n v="7.72"/>
        <n v="9.86"/>
        <n v="7.93"/>
        <n v="8.6"/>
        <n v="6.06"/>
        <n v="5.35"/>
        <n v="5.77"/>
        <n v="4.9800000000000004"/>
        <n v="8.33"/>
        <n v="8.8000000000000007"/>
        <n v="5.5"/>
        <n v="8.48"/>
        <n v="6.63"/>
        <n v="7.37"/>
        <n v="7.33"/>
        <n v="9.0299999999999994"/>
        <n v="5.09"/>
        <n v="7.07"/>
        <n v="5.74"/>
        <n v="4.09"/>
        <n v="5.34"/>
        <n v="7.23"/>
        <n v="7.56"/>
        <n v="8.7100000000000009"/>
        <n v="9.14"/>
        <n v="8.1"/>
        <n v="7.7"/>
        <n v="6.04"/>
        <n v="9.5500000000000007"/>
        <n v="3.14"/>
        <n v="5.73"/>
        <n v="8.66"/>
        <n v="5.76"/>
        <n v="5.51"/>
        <n v="6.15"/>
        <n v="7.57"/>
        <n v="7.36"/>
        <n v="8.59"/>
        <n v="5.39"/>
        <n v="8.44"/>
        <n v="4.96"/>
        <n v="6.28"/>
        <n v="8.19"/>
        <n v="5.0999999999999996"/>
        <n v="5.8"/>
        <n v="6.23"/>
        <n v="4.97"/>
        <n v="5.17"/>
        <n v="9.75"/>
        <n v="9.89"/>
        <n v="5.41"/>
        <n v="6.65"/>
        <n v="7.6"/>
        <n v="6.25"/>
        <n v="4.5599999999999996"/>
        <n v="9.16"/>
        <n v="9.3000000000000007"/>
        <n v="9.61"/>
        <n v="4.84"/>
        <n v="5.97"/>
        <n v="7.1"/>
        <n v="5.49"/>
        <n v="5.25"/>
        <n v="4.8099999999999996"/>
        <n v="6.41"/>
        <n v="4.07"/>
        <n v="5.57"/>
        <n v="5.24"/>
        <n v="5.43"/>
        <n v="8.84"/>
        <n v="5"/>
        <n v="5.9"/>
        <n v="6.14"/>
        <n v="6.85"/>
        <n v="9.01"/>
        <n v="6.61"/>
        <n v="9.68"/>
        <n v="6.81"/>
        <n v="8.3699999999999992"/>
        <n v="3.69"/>
        <n v="7.19"/>
        <n v="9.4"/>
        <n v="9.3800000000000008"/>
        <n v="6.36"/>
        <n v="7.09"/>
        <n v="4.74"/>
        <n v="6.95"/>
        <n v="7.16"/>
        <n v="8.3800000000000008"/>
        <n v="6.2"/>
        <n v="7.29"/>
        <n v="6.39"/>
        <n v="7.87"/>
        <n v="6.94"/>
        <n v="5.94"/>
        <n v="4.91"/>
        <n v="9.06"/>
        <n v="4.34"/>
        <n v="5.87"/>
        <n v="8.73"/>
        <n v="8.7899999999999991"/>
        <n v="4.29"/>
        <n v="5.67"/>
        <n v="5.71"/>
        <n v="9.6999999999999993"/>
        <n v="8.7200000000000006"/>
        <n v="9.74"/>
        <n v="9.85"/>
        <n v="6.72"/>
        <n v="4.26"/>
        <n v="5.2"/>
        <n v="9.0500000000000007"/>
        <n v="4.3600000000000003"/>
        <n v="8"/>
        <n v="4.8899999999999997"/>
        <n v="4.24"/>
        <n v="7.64"/>
        <n v="4.43"/>
        <n v="9.7200000000000006"/>
        <n v="4.6900000000000004"/>
        <n v="7.69"/>
        <n v="9.26"/>
        <n v="4.57"/>
        <n v="4.3499999999999996"/>
        <n v="8.91"/>
        <n v="4.0199999999999996"/>
        <n v="6.13"/>
        <n v="8.86"/>
        <n v="5.08"/>
        <n v="7.49"/>
        <n v="7.03"/>
        <n v="3.8"/>
        <n v="6.46"/>
        <n v="9.4499999999999993"/>
        <n v="5.72"/>
        <n v="5.23"/>
        <n v="5.14"/>
        <n v="8.74"/>
        <n v="6.78"/>
        <n v="4.8499999999999996"/>
        <n v="8.75"/>
        <n v="5.56"/>
        <n v="8.92"/>
        <n v="5.84"/>
        <n v="5.03"/>
        <n v="9.81"/>
        <n v="8.4600000000000009"/>
        <n v="8.2100000000000009"/>
        <n v="9.6300000000000008"/>
        <n v="4.16"/>
        <n v="9.32"/>
        <n v="9.94"/>
        <n v="6.99"/>
        <n v="5.48"/>
        <n v="5.99"/>
      </sharedItems>
    </cacheField>
    <cacheField name="promo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47"/>
    <s v="Hyderabad"/>
    <x v="0"/>
    <s v="Recruiter"/>
    <s v="Masters"/>
    <n v="25"/>
    <n v="90313"/>
    <n v="65.23"/>
    <n v="6"/>
    <n v="40"/>
    <n v="83"/>
    <s v="High"/>
    <x v="0"/>
    <x v="0"/>
  </r>
  <r>
    <x v="1"/>
    <x v="1"/>
    <x v="1"/>
    <n v="44"/>
    <s v="Pune"/>
    <x v="1"/>
    <s v="Sales Executive"/>
    <s v="MBA"/>
    <n v="16"/>
    <n v="113560"/>
    <n v="98.5"/>
    <n v="14"/>
    <n v="28"/>
    <n v="94"/>
    <s v="Medium"/>
    <x v="1"/>
    <x v="1"/>
  </r>
  <r>
    <x v="2"/>
    <x v="2"/>
    <x v="0"/>
    <n v="50"/>
    <s v="Mumbai"/>
    <x v="0"/>
    <s v="HR Executive"/>
    <s v="MBA"/>
    <n v="19"/>
    <n v="47826"/>
    <n v="95.98"/>
    <n v="5"/>
    <n v="12"/>
    <n v="36"/>
    <s v="Low"/>
    <x v="2"/>
    <x v="0"/>
  </r>
  <r>
    <x v="3"/>
    <x v="3"/>
    <x v="1"/>
    <n v="33"/>
    <s v="Chennai"/>
    <x v="2"/>
    <s v="Software Engineer"/>
    <s v="Masters"/>
    <n v="1"/>
    <n v="117188"/>
    <n v="81.17"/>
    <n v="15"/>
    <n v="10"/>
    <n v="102"/>
    <s v="High"/>
    <x v="3"/>
    <x v="0"/>
  </r>
  <r>
    <x v="4"/>
    <x v="4"/>
    <x v="0"/>
    <n v="57"/>
    <s v="Hyderabad"/>
    <x v="1"/>
    <s v="Business Development Executive"/>
    <s v="Masters"/>
    <n v="20"/>
    <n v="140208"/>
    <n v="73.97"/>
    <n v="12"/>
    <n v="33"/>
    <n v="56"/>
    <s v="Medium"/>
    <x v="4"/>
    <x v="0"/>
  </r>
  <r>
    <x v="5"/>
    <x v="5"/>
    <x v="1"/>
    <n v="39"/>
    <s v="Hyderabad"/>
    <x v="3"/>
    <s v="Supervisor"/>
    <s v="Bachelors"/>
    <n v="17"/>
    <n v="51659"/>
    <n v="88.87"/>
    <n v="3"/>
    <n v="17"/>
    <n v="74"/>
    <s v="High"/>
    <x v="5"/>
    <x v="0"/>
  </r>
  <r>
    <x v="6"/>
    <x v="6"/>
    <x v="0"/>
    <n v="57"/>
    <s v="Bangalore"/>
    <x v="0"/>
    <s v="HR Executive"/>
    <s v="Masters"/>
    <n v="30"/>
    <n v="53108"/>
    <n v="93.65"/>
    <n v="1"/>
    <n v="5"/>
    <n v="42"/>
    <s v="Medium"/>
    <x v="6"/>
    <x v="0"/>
  </r>
  <r>
    <x v="7"/>
    <x v="7"/>
    <x v="1"/>
    <n v="53"/>
    <s v="Chennai"/>
    <x v="3"/>
    <s v="Supervisor"/>
    <s v="MBA"/>
    <n v="23"/>
    <n v="101992"/>
    <n v="91.79"/>
    <n v="19"/>
    <n v="60"/>
    <n v="56"/>
    <s v="High"/>
    <x v="7"/>
    <x v="1"/>
  </r>
  <r>
    <x v="8"/>
    <x v="8"/>
    <x v="0"/>
    <n v="50"/>
    <s v="Chennai"/>
    <x v="2"/>
    <s v="System Admin"/>
    <s v="Diploma"/>
    <n v="3"/>
    <n v="114334"/>
    <n v="86.29"/>
    <n v="6"/>
    <n v="60"/>
    <n v="98"/>
    <s v="Medium"/>
    <x v="8"/>
    <x v="0"/>
  </r>
  <r>
    <x v="9"/>
    <x v="9"/>
    <x v="0"/>
    <n v="52"/>
    <s v="Pune"/>
    <x v="0"/>
    <s v="Recruiter"/>
    <s v="Bachelors"/>
    <n v="4"/>
    <n v="48324"/>
    <n v="88.02"/>
    <n v="5"/>
    <n v="38"/>
    <n v="83"/>
    <s v="Medium"/>
    <x v="9"/>
    <x v="0"/>
  </r>
  <r>
    <x v="10"/>
    <x v="10"/>
    <x v="0"/>
    <n v="48"/>
    <s v="Delhi"/>
    <x v="4"/>
    <s v="Auditor"/>
    <s v="MBA"/>
    <n v="24"/>
    <n v="139590"/>
    <n v="98.64"/>
    <n v="14"/>
    <n v="56"/>
    <n v="9"/>
    <s v="Low"/>
    <x v="0"/>
    <x v="0"/>
  </r>
  <r>
    <x v="11"/>
    <x v="11"/>
    <x v="1"/>
    <n v="37"/>
    <s v="Hyderabad"/>
    <x v="3"/>
    <s v="Supervisor"/>
    <s v="Masters"/>
    <n v="15"/>
    <n v="61518"/>
    <n v="82.88"/>
    <n v="4"/>
    <n v="14"/>
    <n v="14"/>
    <s v="Medium"/>
    <x v="10"/>
    <x v="0"/>
  </r>
  <r>
    <x v="12"/>
    <x v="12"/>
    <x v="1"/>
    <n v="32"/>
    <s v="Pune"/>
    <x v="4"/>
    <s v="Auditor"/>
    <s v="Diploma"/>
    <n v="8"/>
    <n v="139376"/>
    <n v="94.92"/>
    <n v="13"/>
    <n v="16"/>
    <n v="71"/>
    <s v="Medium"/>
    <x v="11"/>
    <x v="0"/>
  </r>
  <r>
    <x v="13"/>
    <x v="13"/>
    <x v="1"/>
    <n v="42"/>
    <s v="Bangalore"/>
    <x v="5"/>
    <s v="SEO Analyst"/>
    <s v="Bachelors"/>
    <n v="16"/>
    <n v="98718"/>
    <n v="97.4"/>
    <n v="7"/>
    <n v="30"/>
    <n v="53"/>
    <s v="High"/>
    <x v="12"/>
    <x v="0"/>
  </r>
  <r>
    <x v="14"/>
    <x v="14"/>
    <x v="1"/>
    <n v="28"/>
    <s v="Mumbai"/>
    <x v="5"/>
    <s v="Content Strategist"/>
    <s v="Masters"/>
    <n v="0"/>
    <n v="98828"/>
    <n v="79.41"/>
    <n v="3"/>
    <n v="43"/>
    <n v="58"/>
    <s v="Medium"/>
    <x v="13"/>
    <x v="0"/>
  </r>
  <r>
    <x v="15"/>
    <x v="15"/>
    <x v="0"/>
    <n v="36"/>
    <s v="Delhi"/>
    <x v="3"/>
    <s v="Supervisor"/>
    <s v="Diploma"/>
    <n v="9"/>
    <n v="48602"/>
    <n v="82.91"/>
    <n v="1"/>
    <n v="58"/>
    <n v="48"/>
    <s v="Low"/>
    <x v="14"/>
    <x v="0"/>
  </r>
  <r>
    <x v="16"/>
    <x v="16"/>
    <x v="0"/>
    <n v="50"/>
    <s v="Delhi"/>
    <x v="0"/>
    <s v="HR Manager"/>
    <s v="MBA"/>
    <n v="28"/>
    <n v="74695"/>
    <n v="75.900000000000006"/>
    <n v="12"/>
    <n v="9"/>
    <n v="34"/>
    <s v="Low"/>
    <x v="11"/>
    <x v="0"/>
  </r>
  <r>
    <x v="17"/>
    <x v="17"/>
    <x v="0"/>
    <n v="25"/>
    <s v="Chennai"/>
    <x v="2"/>
    <s v="Data Analyst"/>
    <s v="MBA"/>
    <n v="3"/>
    <n v="150745"/>
    <n v="99.22"/>
    <n v="9"/>
    <n v="13"/>
    <n v="43"/>
    <s v="Low"/>
    <x v="4"/>
    <x v="0"/>
  </r>
  <r>
    <x v="18"/>
    <x v="18"/>
    <x v="0"/>
    <n v="32"/>
    <s v="Pune"/>
    <x v="1"/>
    <s v="Sales Executive"/>
    <s v="MBA"/>
    <n v="11"/>
    <n v="109547"/>
    <n v="75.75"/>
    <n v="4"/>
    <n v="45"/>
    <n v="109"/>
    <s v="Low"/>
    <x v="15"/>
    <x v="0"/>
  </r>
  <r>
    <x v="19"/>
    <x v="19"/>
    <x v="1"/>
    <n v="54"/>
    <s v="Delhi"/>
    <x v="1"/>
    <s v="Business Development Executive"/>
    <s v="Masters"/>
    <n v="27"/>
    <n v="35455"/>
    <n v="71.08"/>
    <n v="6"/>
    <n v="36"/>
    <n v="93"/>
    <s v="Medium"/>
    <x v="16"/>
    <x v="0"/>
  </r>
  <r>
    <x v="20"/>
    <x v="20"/>
    <x v="1"/>
    <n v="42"/>
    <s v="Chennai"/>
    <x v="0"/>
    <s v="HR Manager"/>
    <s v="Diploma"/>
    <n v="19"/>
    <n v="49004"/>
    <n v="87.46"/>
    <n v="19"/>
    <n v="5"/>
    <n v="81"/>
    <s v="High"/>
    <x v="17"/>
    <x v="1"/>
  </r>
  <r>
    <x v="21"/>
    <x v="21"/>
    <x v="0"/>
    <n v="52"/>
    <s v="Bangalore"/>
    <x v="4"/>
    <s v="Financial Analyst"/>
    <s v="Bachelors"/>
    <n v="0"/>
    <n v="122941"/>
    <n v="95.04"/>
    <n v="2"/>
    <n v="25"/>
    <n v="30"/>
    <s v="Medium"/>
    <x v="18"/>
    <x v="0"/>
  </r>
  <r>
    <x v="22"/>
    <x v="22"/>
    <x v="1"/>
    <n v="44"/>
    <s v="Chennai"/>
    <x v="2"/>
    <s v="System Admin"/>
    <s v="MBA"/>
    <n v="20"/>
    <n v="94462"/>
    <n v="98.45"/>
    <n v="11"/>
    <n v="9"/>
    <n v="72"/>
    <s v="High"/>
    <x v="19"/>
    <x v="1"/>
  </r>
  <r>
    <x v="23"/>
    <x v="23"/>
    <x v="0"/>
    <n v="48"/>
    <s v="Pune"/>
    <x v="5"/>
    <s v="Content Strategist"/>
    <s v="Diploma"/>
    <n v="2"/>
    <n v="96229"/>
    <n v="91.01"/>
    <n v="17"/>
    <n v="59"/>
    <n v="20"/>
    <s v="High"/>
    <x v="20"/>
    <x v="0"/>
  </r>
  <r>
    <x v="24"/>
    <x v="24"/>
    <x v="0"/>
    <n v="43"/>
    <s v="Pune"/>
    <x v="5"/>
    <s v="Content Strategist"/>
    <s v="MBA"/>
    <n v="19"/>
    <n v="60734"/>
    <n v="99.4"/>
    <n v="5"/>
    <n v="53"/>
    <n v="20"/>
    <s v="Low"/>
    <x v="21"/>
    <x v="0"/>
  </r>
  <r>
    <x v="25"/>
    <x v="25"/>
    <x v="0"/>
    <n v="31"/>
    <s v="Bangalore"/>
    <x v="0"/>
    <s v="HR Manager"/>
    <s v="Bachelors"/>
    <n v="6"/>
    <n v="52905"/>
    <n v="97.59"/>
    <n v="9"/>
    <n v="58"/>
    <n v="26"/>
    <s v="Low"/>
    <x v="22"/>
    <x v="0"/>
  </r>
  <r>
    <x v="26"/>
    <x v="26"/>
    <x v="0"/>
    <n v="31"/>
    <s v="Mumbai"/>
    <x v="1"/>
    <s v="Sales Manager"/>
    <s v="MBA"/>
    <n v="10"/>
    <n v="66347"/>
    <n v="94.07"/>
    <n v="2"/>
    <n v="54"/>
    <n v="30"/>
    <s v="Medium"/>
    <x v="23"/>
    <x v="0"/>
  </r>
  <r>
    <x v="27"/>
    <x v="27"/>
    <x v="1"/>
    <n v="45"/>
    <s v="Bangalore"/>
    <x v="4"/>
    <s v="Financial Analyst"/>
    <s v="Bachelors"/>
    <n v="2"/>
    <n v="146249"/>
    <n v="80.239999999999995"/>
    <n v="5"/>
    <n v="41"/>
    <n v="97"/>
    <s v="Low"/>
    <x v="24"/>
    <x v="0"/>
  </r>
  <r>
    <x v="28"/>
    <x v="28"/>
    <x v="0"/>
    <n v="44"/>
    <s v="Pune"/>
    <x v="5"/>
    <s v="Marketing Executive"/>
    <s v="MBA"/>
    <n v="8"/>
    <n v="71474"/>
    <n v="70.03"/>
    <n v="6"/>
    <n v="56"/>
    <n v="106"/>
    <s v="Low"/>
    <x v="25"/>
    <x v="0"/>
  </r>
  <r>
    <x v="29"/>
    <x v="29"/>
    <x v="0"/>
    <n v="39"/>
    <s v="Delhi"/>
    <x v="5"/>
    <s v="Marketing Executive"/>
    <s v="Bachelors"/>
    <n v="11"/>
    <n v="92263"/>
    <n v="66.95"/>
    <n v="2"/>
    <n v="15"/>
    <n v="13"/>
    <s v="Low"/>
    <x v="26"/>
    <x v="0"/>
  </r>
  <r>
    <x v="30"/>
    <x v="30"/>
    <x v="0"/>
    <n v="27"/>
    <s v="Hyderabad"/>
    <x v="4"/>
    <s v="Auditor"/>
    <s v="Bachelors"/>
    <n v="5"/>
    <n v="94636"/>
    <n v="79.900000000000006"/>
    <n v="4"/>
    <n v="37"/>
    <n v="71"/>
    <s v="High"/>
    <x v="27"/>
    <x v="0"/>
  </r>
  <r>
    <x v="31"/>
    <x v="31"/>
    <x v="1"/>
    <n v="49"/>
    <s v="Delhi"/>
    <x v="5"/>
    <s v="Content Strategist"/>
    <s v="Masters"/>
    <n v="22"/>
    <n v="87645"/>
    <n v="70.180000000000007"/>
    <n v="15"/>
    <n v="20"/>
    <n v="88"/>
    <s v="Medium"/>
    <x v="28"/>
    <x v="1"/>
  </r>
  <r>
    <x v="32"/>
    <x v="32"/>
    <x v="1"/>
    <n v="45"/>
    <s v="Chennai"/>
    <x v="0"/>
    <s v="HR Manager"/>
    <s v="Bachelors"/>
    <n v="16"/>
    <n v="44566"/>
    <n v="69.56"/>
    <n v="14"/>
    <n v="18"/>
    <n v="58"/>
    <s v="Low"/>
    <x v="29"/>
    <x v="0"/>
  </r>
  <r>
    <x v="33"/>
    <x v="33"/>
    <x v="1"/>
    <n v="49"/>
    <s v="Bangalore"/>
    <x v="1"/>
    <s v="Business Development Executive"/>
    <s v="MBA"/>
    <n v="27"/>
    <n v="49284"/>
    <n v="80.62"/>
    <n v="13"/>
    <n v="50"/>
    <n v="93"/>
    <s v="High"/>
    <x v="30"/>
    <x v="1"/>
  </r>
  <r>
    <x v="34"/>
    <x v="34"/>
    <x v="1"/>
    <n v="48"/>
    <s v="Mumbai"/>
    <x v="5"/>
    <s v="SEO Analyst"/>
    <s v="Diploma"/>
    <n v="10"/>
    <n v="62500"/>
    <n v="71.47"/>
    <n v="3"/>
    <n v="36"/>
    <n v="60"/>
    <s v="Medium"/>
    <x v="31"/>
    <x v="0"/>
  </r>
  <r>
    <x v="35"/>
    <x v="35"/>
    <x v="0"/>
    <n v="24"/>
    <s v="Chennai"/>
    <x v="1"/>
    <s v="Sales Executive"/>
    <s v="MBA"/>
    <n v="3"/>
    <n v="94005"/>
    <n v="67.11"/>
    <n v="3"/>
    <n v="2"/>
    <n v="53"/>
    <s v="High"/>
    <x v="32"/>
    <x v="0"/>
  </r>
  <r>
    <x v="36"/>
    <x v="36"/>
    <x v="0"/>
    <n v="46"/>
    <s v="Pune"/>
    <x v="4"/>
    <s v="Accountant"/>
    <s v="Diploma"/>
    <n v="22"/>
    <n v="68925"/>
    <n v="81.290000000000006"/>
    <n v="16"/>
    <n v="0"/>
    <n v="117"/>
    <s v="Low"/>
    <x v="33"/>
    <x v="1"/>
  </r>
  <r>
    <x v="37"/>
    <x v="37"/>
    <x v="0"/>
    <n v="41"/>
    <s v="Delhi"/>
    <x v="2"/>
    <s v="Data Analyst"/>
    <s v="MBA"/>
    <n v="9"/>
    <n v="86216"/>
    <n v="83.7"/>
    <n v="1"/>
    <n v="35"/>
    <n v="78"/>
    <s v="Medium"/>
    <x v="34"/>
    <x v="0"/>
  </r>
  <r>
    <x v="38"/>
    <x v="38"/>
    <x v="1"/>
    <n v="42"/>
    <s v="Delhi"/>
    <x v="2"/>
    <s v="Software Engineer"/>
    <s v="Bachelors"/>
    <n v="4"/>
    <n v="88261"/>
    <n v="86.3"/>
    <n v="17"/>
    <n v="22"/>
    <n v="69"/>
    <s v="High"/>
    <x v="35"/>
    <x v="0"/>
  </r>
  <r>
    <x v="39"/>
    <x v="39"/>
    <x v="0"/>
    <n v="32"/>
    <s v="Pune"/>
    <x v="0"/>
    <s v="HR Executive"/>
    <s v="MBA"/>
    <n v="0"/>
    <n v="77350"/>
    <n v="71.430000000000007"/>
    <n v="13"/>
    <n v="33"/>
    <n v="119"/>
    <s v="Low"/>
    <x v="36"/>
    <x v="0"/>
  </r>
  <r>
    <x v="40"/>
    <x v="40"/>
    <x v="1"/>
    <n v="49"/>
    <s v="Mumbai"/>
    <x v="1"/>
    <s v="Sales Executive"/>
    <s v="Diploma"/>
    <n v="27"/>
    <n v="80476"/>
    <n v="80.430000000000007"/>
    <n v="1"/>
    <n v="57"/>
    <n v="120"/>
    <s v="Medium"/>
    <x v="37"/>
    <x v="0"/>
  </r>
  <r>
    <x v="41"/>
    <x v="41"/>
    <x v="0"/>
    <n v="26"/>
    <s v="Delhi"/>
    <x v="2"/>
    <s v="Data Analyst"/>
    <s v="MBA"/>
    <n v="4"/>
    <n v="71855"/>
    <n v="78.72"/>
    <n v="2"/>
    <n v="32"/>
    <n v="30"/>
    <s v="High"/>
    <x v="38"/>
    <x v="0"/>
  </r>
  <r>
    <x v="42"/>
    <x v="42"/>
    <x v="0"/>
    <n v="31"/>
    <s v="Hyderabad"/>
    <x v="5"/>
    <s v="Marketing Executive"/>
    <s v="MBA"/>
    <n v="5"/>
    <n v="70134"/>
    <n v="95.22"/>
    <n v="10"/>
    <n v="30"/>
    <n v="39"/>
    <s v="High"/>
    <x v="39"/>
    <x v="0"/>
  </r>
  <r>
    <x v="43"/>
    <x v="43"/>
    <x v="0"/>
    <n v="30"/>
    <s v="Bangalore"/>
    <x v="2"/>
    <s v="Data Analyst"/>
    <s v="MBA"/>
    <n v="5"/>
    <n v="81961"/>
    <n v="79.69"/>
    <n v="8"/>
    <n v="21"/>
    <n v="113"/>
    <s v="High"/>
    <x v="40"/>
    <x v="0"/>
  </r>
  <r>
    <x v="44"/>
    <x v="44"/>
    <x v="0"/>
    <n v="23"/>
    <s v="Chennai"/>
    <x v="5"/>
    <s v="Content Strategist"/>
    <s v="Diploma"/>
    <n v="1"/>
    <n v="96098"/>
    <n v="86.44"/>
    <n v="2"/>
    <n v="24"/>
    <n v="41"/>
    <s v="Medium"/>
    <x v="41"/>
    <x v="0"/>
  </r>
  <r>
    <x v="45"/>
    <x v="45"/>
    <x v="1"/>
    <n v="57"/>
    <s v="Hyderabad"/>
    <x v="2"/>
    <s v="Software Engineer"/>
    <s v="Masters"/>
    <n v="35"/>
    <n v="146882"/>
    <n v="69.81"/>
    <n v="15"/>
    <n v="17"/>
    <n v="36"/>
    <s v="Low"/>
    <x v="42"/>
    <x v="1"/>
  </r>
  <r>
    <x v="46"/>
    <x v="46"/>
    <x v="0"/>
    <n v="33"/>
    <s v="Bangalore"/>
    <x v="4"/>
    <s v="Auditor"/>
    <s v="Bachelors"/>
    <n v="7"/>
    <n v="140947"/>
    <n v="71.819999999999993"/>
    <n v="9"/>
    <n v="33"/>
    <n v="95"/>
    <s v="High"/>
    <x v="43"/>
    <x v="0"/>
  </r>
  <r>
    <x v="47"/>
    <x v="47"/>
    <x v="1"/>
    <n v="37"/>
    <s v="Mumbai"/>
    <x v="5"/>
    <s v="Marketing Executive"/>
    <s v="Bachelors"/>
    <n v="8"/>
    <n v="97339"/>
    <n v="74.37"/>
    <n v="6"/>
    <n v="39"/>
    <n v="85"/>
    <s v="High"/>
    <x v="25"/>
    <x v="0"/>
  </r>
  <r>
    <x v="48"/>
    <x v="48"/>
    <x v="0"/>
    <n v="48"/>
    <s v="Pune"/>
    <x v="1"/>
    <s v="Sales Executive"/>
    <s v="Diploma"/>
    <n v="5"/>
    <n v="140677"/>
    <n v="85.87"/>
    <n v="3"/>
    <n v="23"/>
    <n v="92"/>
    <s v="Low"/>
    <x v="44"/>
    <x v="0"/>
  </r>
  <r>
    <x v="49"/>
    <x v="49"/>
    <x v="1"/>
    <n v="34"/>
    <s v="Hyderabad"/>
    <x v="4"/>
    <s v="Auditor"/>
    <s v="Diploma"/>
    <n v="9"/>
    <n v="82876"/>
    <n v="75.3"/>
    <n v="12"/>
    <n v="11"/>
    <n v="115"/>
    <s v="High"/>
    <x v="45"/>
    <x v="0"/>
  </r>
  <r>
    <x v="50"/>
    <x v="50"/>
    <x v="1"/>
    <n v="45"/>
    <s v="Hyderabad"/>
    <x v="3"/>
    <s v="Operations Executive"/>
    <s v="Diploma"/>
    <n v="14"/>
    <n v="45892"/>
    <n v="86.32"/>
    <n v="15"/>
    <n v="48"/>
    <n v="105"/>
    <s v="High"/>
    <x v="46"/>
    <x v="0"/>
  </r>
  <r>
    <x v="51"/>
    <x v="51"/>
    <x v="0"/>
    <n v="30"/>
    <s v="Chennai"/>
    <x v="0"/>
    <s v="HR Manager"/>
    <s v="Diploma"/>
    <n v="3"/>
    <n v="68247"/>
    <n v="89.4"/>
    <n v="9"/>
    <n v="19"/>
    <n v="69"/>
    <s v="High"/>
    <x v="35"/>
    <x v="0"/>
  </r>
  <r>
    <x v="52"/>
    <x v="52"/>
    <x v="1"/>
    <n v="43"/>
    <s v="Mumbai"/>
    <x v="5"/>
    <s v="Content Strategist"/>
    <s v="Bachelors"/>
    <n v="21"/>
    <n v="85936"/>
    <n v="79.099999999999994"/>
    <n v="17"/>
    <n v="7"/>
    <n v="25"/>
    <s v="Medium"/>
    <x v="47"/>
    <x v="0"/>
  </r>
  <r>
    <x v="53"/>
    <x v="53"/>
    <x v="1"/>
    <n v="39"/>
    <s v="Delhi"/>
    <x v="3"/>
    <s v="Operations Executive"/>
    <s v="Diploma"/>
    <n v="16"/>
    <n v="114288"/>
    <n v="74.17"/>
    <n v="16"/>
    <n v="16"/>
    <n v="13"/>
    <s v="Low"/>
    <x v="48"/>
    <x v="0"/>
  </r>
  <r>
    <x v="54"/>
    <x v="54"/>
    <x v="0"/>
    <n v="48"/>
    <s v="Chennai"/>
    <x v="5"/>
    <s v="SEO Analyst"/>
    <s v="Diploma"/>
    <n v="0"/>
    <n v="109186"/>
    <n v="73.099999999999994"/>
    <n v="2"/>
    <n v="48"/>
    <n v="64"/>
    <s v="Low"/>
    <x v="49"/>
    <x v="0"/>
  </r>
  <r>
    <x v="55"/>
    <x v="55"/>
    <x v="0"/>
    <n v="56"/>
    <s v="Hyderabad"/>
    <x v="2"/>
    <s v="Data Analyst"/>
    <s v="Bachelors"/>
    <n v="0"/>
    <n v="144785"/>
    <n v="76.89"/>
    <n v="5"/>
    <n v="40"/>
    <n v="50"/>
    <s v="High"/>
    <x v="50"/>
    <x v="0"/>
  </r>
  <r>
    <x v="56"/>
    <x v="56"/>
    <x v="0"/>
    <n v="48"/>
    <s v="Mumbai"/>
    <x v="3"/>
    <s v="Operations Executive"/>
    <s v="Bachelors"/>
    <n v="1"/>
    <n v="66150"/>
    <n v="98.09"/>
    <n v="12"/>
    <n v="20"/>
    <n v="85"/>
    <s v="Low"/>
    <x v="51"/>
    <x v="0"/>
  </r>
  <r>
    <x v="57"/>
    <x v="57"/>
    <x v="0"/>
    <n v="52"/>
    <s v="Hyderabad"/>
    <x v="3"/>
    <s v="Operations Executive"/>
    <s v="Diploma"/>
    <n v="21"/>
    <n v="85136"/>
    <n v="98.55"/>
    <n v="15"/>
    <n v="20"/>
    <n v="99"/>
    <s v="High"/>
    <x v="52"/>
    <x v="1"/>
  </r>
  <r>
    <x v="58"/>
    <x v="58"/>
    <x v="1"/>
    <n v="25"/>
    <s v="Hyderabad"/>
    <x v="4"/>
    <s v="Auditor"/>
    <s v="MBA"/>
    <n v="4"/>
    <n v="50733"/>
    <n v="93.27"/>
    <n v="19"/>
    <n v="17"/>
    <n v="60"/>
    <s v="Medium"/>
    <x v="53"/>
    <x v="1"/>
  </r>
  <r>
    <x v="59"/>
    <x v="59"/>
    <x v="0"/>
    <n v="43"/>
    <s v="Delhi"/>
    <x v="4"/>
    <s v="Accountant"/>
    <s v="Masters"/>
    <n v="22"/>
    <n v="98838"/>
    <n v="96.34"/>
    <n v="19"/>
    <n v="40"/>
    <n v="19"/>
    <s v="Medium"/>
    <x v="54"/>
    <x v="0"/>
  </r>
  <r>
    <x v="60"/>
    <x v="60"/>
    <x v="1"/>
    <n v="49"/>
    <s v="Chennai"/>
    <x v="1"/>
    <s v="Sales Executive"/>
    <s v="Masters"/>
    <n v="21"/>
    <n v="41915"/>
    <n v="90.75"/>
    <n v="9"/>
    <n v="15"/>
    <n v="81"/>
    <s v="High"/>
    <x v="55"/>
    <x v="1"/>
  </r>
  <r>
    <x v="61"/>
    <x v="61"/>
    <x v="1"/>
    <n v="55"/>
    <s v="Chennai"/>
    <x v="2"/>
    <s v="Data Analyst"/>
    <s v="MBA"/>
    <n v="29"/>
    <n v="104979"/>
    <n v="89.47"/>
    <n v="20"/>
    <n v="19"/>
    <n v="83"/>
    <s v="High"/>
    <x v="56"/>
    <x v="1"/>
  </r>
  <r>
    <x v="62"/>
    <x v="62"/>
    <x v="0"/>
    <n v="58"/>
    <s v="Hyderabad"/>
    <x v="4"/>
    <s v="Auditor"/>
    <s v="MBA"/>
    <n v="32"/>
    <n v="81039"/>
    <n v="80.14"/>
    <n v="10"/>
    <n v="37"/>
    <n v="74"/>
    <s v="Low"/>
    <x v="57"/>
    <x v="0"/>
  </r>
  <r>
    <x v="63"/>
    <x v="63"/>
    <x v="0"/>
    <n v="45"/>
    <s v="Chennai"/>
    <x v="3"/>
    <s v="Operations Executive"/>
    <s v="Masters"/>
    <n v="9"/>
    <n v="118115"/>
    <n v="88.46"/>
    <n v="11"/>
    <n v="23"/>
    <n v="19"/>
    <s v="High"/>
    <x v="58"/>
    <x v="0"/>
  </r>
  <r>
    <x v="64"/>
    <x v="64"/>
    <x v="1"/>
    <n v="29"/>
    <s v="Bangalore"/>
    <x v="5"/>
    <s v="Marketing Executive"/>
    <s v="Bachelors"/>
    <n v="2"/>
    <n v="66888"/>
    <n v="95.83"/>
    <n v="19"/>
    <n v="29"/>
    <n v="120"/>
    <s v="High"/>
    <x v="59"/>
    <x v="0"/>
  </r>
  <r>
    <x v="65"/>
    <x v="65"/>
    <x v="1"/>
    <n v="27"/>
    <s v="Pune"/>
    <x v="4"/>
    <s v="Auditor"/>
    <s v="Bachelors"/>
    <n v="1"/>
    <n v="104563"/>
    <n v="90.85"/>
    <n v="5"/>
    <n v="43"/>
    <n v="15"/>
    <s v="Low"/>
    <x v="60"/>
    <x v="0"/>
  </r>
  <r>
    <x v="66"/>
    <x v="66"/>
    <x v="1"/>
    <n v="36"/>
    <s v="Bangalore"/>
    <x v="4"/>
    <s v="Auditor"/>
    <s v="Bachelors"/>
    <n v="1"/>
    <n v="115273"/>
    <n v="94.14"/>
    <n v="7"/>
    <n v="2"/>
    <n v="107"/>
    <s v="Medium"/>
    <x v="61"/>
    <x v="0"/>
  </r>
  <r>
    <x v="67"/>
    <x v="67"/>
    <x v="0"/>
    <n v="41"/>
    <s v="Mumbai"/>
    <x v="0"/>
    <s v="Recruiter"/>
    <s v="Masters"/>
    <n v="6"/>
    <n v="85189"/>
    <n v="67.25"/>
    <n v="12"/>
    <n v="24"/>
    <n v="11"/>
    <s v="Low"/>
    <x v="23"/>
    <x v="0"/>
  </r>
  <r>
    <x v="68"/>
    <x v="68"/>
    <x v="0"/>
    <n v="51"/>
    <s v="Mumbai"/>
    <x v="1"/>
    <s v="Sales Manager"/>
    <s v="Diploma"/>
    <n v="26"/>
    <n v="87108"/>
    <n v="98.03"/>
    <n v="20"/>
    <n v="45"/>
    <n v="66"/>
    <s v="High"/>
    <x v="56"/>
    <x v="1"/>
  </r>
  <r>
    <x v="69"/>
    <x v="69"/>
    <x v="0"/>
    <n v="41"/>
    <s v="Chennai"/>
    <x v="4"/>
    <s v="Financial Analyst"/>
    <s v="Masters"/>
    <n v="15"/>
    <n v="130940"/>
    <n v="72.3"/>
    <n v="19"/>
    <n v="36"/>
    <n v="7"/>
    <s v="Low"/>
    <x v="62"/>
    <x v="0"/>
  </r>
  <r>
    <x v="70"/>
    <x v="70"/>
    <x v="1"/>
    <n v="35"/>
    <s v="Delhi"/>
    <x v="4"/>
    <s v="Financial Analyst"/>
    <s v="Bachelors"/>
    <n v="14"/>
    <n v="79892"/>
    <n v="76.94"/>
    <n v="20"/>
    <n v="0"/>
    <n v="113"/>
    <s v="Low"/>
    <x v="56"/>
    <x v="1"/>
  </r>
  <r>
    <x v="71"/>
    <x v="71"/>
    <x v="0"/>
    <n v="34"/>
    <s v="Pune"/>
    <x v="4"/>
    <s v="Financial Analyst"/>
    <s v="Bachelors"/>
    <n v="12"/>
    <n v="84729"/>
    <n v="77.2"/>
    <n v="9"/>
    <n v="35"/>
    <n v="56"/>
    <s v="High"/>
    <x v="63"/>
    <x v="0"/>
  </r>
  <r>
    <x v="72"/>
    <x v="72"/>
    <x v="1"/>
    <n v="41"/>
    <s v="Mumbai"/>
    <x v="2"/>
    <s v="Software Engineer"/>
    <s v="Bachelors"/>
    <n v="8"/>
    <n v="80621"/>
    <n v="67.87"/>
    <n v="3"/>
    <n v="42"/>
    <n v="36"/>
    <s v="Low"/>
    <x v="64"/>
    <x v="0"/>
  </r>
  <r>
    <x v="73"/>
    <x v="73"/>
    <x v="1"/>
    <n v="58"/>
    <s v="Mumbai"/>
    <x v="2"/>
    <s v="Data Analyst"/>
    <s v="Diploma"/>
    <n v="33"/>
    <n v="133491"/>
    <n v="69.3"/>
    <n v="17"/>
    <n v="47"/>
    <n v="13"/>
    <s v="High"/>
    <x v="65"/>
    <x v="0"/>
  </r>
  <r>
    <x v="74"/>
    <x v="74"/>
    <x v="0"/>
    <n v="32"/>
    <s v="Mumbai"/>
    <x v="5"/>
    <s v="Marketing Executive"/>
    <s v="Masters"/>
    <n v="8"/>
    <n v="96154"/>
    <n v="98.72"/>
    <n v="16"/>
    <n v="2"/>
    <n v="49"/>
    <s v="Low"/>
    <x v="66"/>
    <x v="0"/>
  </r>
  <r>
    <x v="75"/>
    <x v="75"/>
    <x v="1"/>
    <n v="46"/>
    <s v="Bangalore"/>
    <x v="4"/>
    <s v="Auditor"/>
    <s v="Bachelors"/>
    <n v="22"/>
    <n v="145182"/>
    <n v="82.05"/>
    <n v="2"/>
    <n v="4"/>
    <n v="24"/>
    <s v="Low"/>
    <x v="67"/>
    <x v="0"/>
  </r>
  <r>
    <x v="76"/>
    <x v="76"/>
    <x v="1"/>
    <n v="48"/>
    <s v="Mumbai"/>
    <x v="1"/>
    <s v="Sales Manager"/>
    <s v="Masters"/>
    <n v="10"/>
    <n v="35277"/>
    <n v="89.93"/>
    <n v="12"/>
    <n v="49"/>
    <n v="108"/>
    <s v="High"/>
    <x v="68"/>
    <x v="0"/>
  </r>
  <r>
    <x v="77"/>
    <x v="77"/>
    <x v="1"/>
    <n v="50"/>
    <s v="Hyderabad"/>
    <x v="3"/>
    <s v="Operations Executive"/>
    <s v="Diploma"/>
    <n v="1"/>
    <n v="95740"/>
    <n v="86.24"/>
    <n v="19"/>
    <n v="60"/>
    <n v="92"/>
    <s v="Medium"/>
    <x v="69"/>
    <x v="0"/>
  </r>
  <r>
    <x v="78"/>
    <x v="78"/>
    <x v="0"/>
    <n v="43"/>
    <s v="Delhi"/>
    <x v="1"/>
    <s v="Sales Executive"/>
    <s v="Diploma"/>
    <n v="19"/>
    <n v="107850"/>
    <n v="95.66"/>
    <n v="9"/>
    <n v="44"/>
    <n v="72"/>
    <s v="Medium"/>
    <x v="70"/>
    <x v="0"/>
  </r>
  <r>
    <x v="79"/>
    <x v="79"/>
    <x v="1"/>
    <n v="28"/>
    <s v="Pune"/>
    <x v="3"/>
    <s v="Supervisor"/>
    <s v="MBA"/>
    <n v="3"/>
    <n v="67805"/>
    <n v="78.64"/>
    <n v="18"/>
    <n v="7"/>
    <n v="55"/>
    <s v="Medium"/>
    <x v="47"/>
    <x v="0"/>
  </r>
  <r>
    <x v="80"/>
    <x v="80"/>
    <x v="0"/>
    <n v="28"/>
    <s v="Hyderabad"/>
    <x v="4"/>
    <s v="Accountant"/>
    <s v="Bachelors"/>
    <n v="0"/>
    <n v="126983"/>
    <n v="65.12"/>
    <n v="12"/>
    <n v="2"/>
    <n v="86"/>
    <s v="Low"/>
    <x v="71"/>
    <x v="0"/>
  </r>
  <r>
    <x v="81"/>
    <x v="81"/>
    <x v="1"/>
    <n v="38"/>
    <s v="Chennai"/>
    <x v="2"/>
    <s v="System Admin"/>
    <s v="MBA"/>
    <n v="4"/>
    <n v="62540"/>
    <n v="83.14"/>
    <n v="16"/>
    <n v="26"/>
    <n v="111"/>
    <s v="High"/>
    <x v="72"/>
    <x v="0"/>
  </r>
  <r>
    <x v="82"/>
    <x v="82"/>
    <x v="0"/>
    <n v="24"/>
    <s v="Delhi"/>
    <x v="3"/>
    <s v="Operations Executive"/>
    <s v="Diploma"/>
    <n v="2"/>
    <n v="89441"/>
    <n v="86.98"/>
    <n v="13"/>
    <n v="39"/>
    <n v="51"/>
    <s v="Medium"/>
    <x v="73"/>
    <x v="0"/>
  </r>
  <r>
    <x v="83"/>
    <x v="83"/>
    <x v="1"/>
    <n v="52"/>
    <s v="Mumbai"/>
    <x v="2"/>
    <s v="DevOps Engineer"/>
    <s v="Masters"/>
    <n v="16"/>
    <n v="71513"/>
    <n v="89.39"/>
    <n v="13"/>
    <n v="42"/>
    <n v="20"/>
    <s v="Medium"/>
    <x v="74"/>
    <x v="0"/>
  </r>
  <r>
    <x v="84"/>
    <x v="84"/>
    <x v="0"/>
    <n v="34"/>
    <s v="Pune"/>
    <x v="2"/>
    <s v="Software Engineer"/>
    <s v="Diploma"/>
    <n v="10"/>
    <n v="98921"/>
    <n v="96.26"/>
    <n v="20"/>
    <n v="42"/>
    <n v="111"/>
    <s v="High"/>
    <x v="56"/>
    <x v="1"/>
  </r>
  <r>
    <x v="85"/>
    <x v="85"/>
    <x v="0"/>
    <n v="53"/>
    <s v="Chennai"/>
    <x v="1"/>
    <s v="Business Development Executive"/>
    <s v="Masters"/>
    <n v="12"/>
    <n v="145527"/>
    <n v="75.78"/>
    <n v="18"/>
    <n v="32"/>
    <n v="50"/>
    <s v="Medium"/>
    <x v="75"/>
    <x v="0"/>
  </r>
  <r>
    <x v="86"/>
    <x v="86"/>
    <x v="1"/>
    <n v="25"/>
    <s v="Mumbai"/>
    <x v="2"/>
    <s v="System Admin"/>
    <s v="Masters"/>
    <n v="0"/>
    <n v="177839"/>
    <n v="68.66"/>
    <n v="12"/>
    <n v="22"/>
    <n v="8"/>
    <s v="Low"/>
    <x v="44"/>
    <x v="0"/>
  </r>
  <r>
    <x v="87"/>
    <x v="87"/>
    <x v="1"/>
    <n v="55"/>
    <s v="Pune"/>
    <x v="1"/>
    <s v="Sales Executive"/>
    <s v="Diploma"/>
    <n v="27"/>
    <n v="45719"/>
    <n v="76.67"/>
    <n v="5"/>
    <n v="60"/>
    <n v="54"/>
    <s v="Medium"/>
    <x v="76"/>
    <x v="0"/>
  </r>
  <r>
    <x v="88"/>
    <x v="88"/>
    <x v="1"/>
    <n v="23"/>
    <s v="Chennai"/>
    <x v="2"/>
    <s v="Software Engineer"/>
    <s v="Diploma"/>
    <n v="2"/>
    <n v="128413"/>
    <n v="66.47"/>
    <n v="15"/>
    <n v="19"/>
    <n v="114"/>
    <s v="Medium"/>
    <x v="62"/>
    <x v="0"/>
  </r>
  <r>
    <x v="89"/>
    <x v="89"/>
    <x v="1"/>
    <n v="49"/>
    <s v="Mumbai"/>
    <x v="4"/>
    <s v="Auditor"/>
    <s v="Masters"/>
    <n v="18"/>
    <n v="91518"/>
    <n v="82.38"/>
    <n v="7"/>
    <n v="35"/>
    <n v="30"/>
    <s v="Medium"/>
    <x v="77"/>
    <x v="0"/>
  </r>
  <r>
    <x v="90"/>
    <x v="90"/>
    <x v="1"/>
    <n v="54"/>
    <s v="Hyderabad"/>
    <x v="3"/>
    <s v="Operations Executive"/>
    <s v="Diploma"/>
    <n v="12"/>
    <n v="71870"/>
    <n v="77.02"/>
    <n v="16"/>
    <n v="58"/>
    <n v="89"/>
    <s v="Medium"/>
    <x v="57"/>
    <x v="0"/>
  </r>
  <r>
    <x v="91"/>
    <x v="91"/>
    <x v="1"/>
    <n v="45"/>
    <s v="Chennai"/>
    <x v="0"/>
    <s v="Recruiter"/>
    <s v="Diploma"/>
    <n v="15"/>
    <n v="89322"/>
    <n v="83.27"/>
    <n v="17"/>
    <n v="44"/>
    <n v="70"/>
    <s v="High"/>
    <x v="78"/>
    <x v="0"/>
  </r>
  <r>
    <x v="92"/>
    <x v="92"/>
    <x v="0"/>
    <n v="33"/>
    <s v="Hyderabad"/>
    <x v="4"/>
    <s v="Accountant"/>
    <s v="Diploma"/>
    <n v="5"/>
    <n v="73935"/>
    <n v="70.98"/>
    <n v="19"/>
    <n v="50"/>
    <n v="53"/>
    <s v="Medium"/>
    <x v="79"/>
    <x v="0"/>
  </r>
  <r>
    <x v="93"/>
    <x v="93"/>
    <x v="1"/>
    <n v="40"/>
    <s v="Bangalore"/>
    <x v="0"/>
    <s v="Recruiter"/>
    <s v="MBA"/>
    <n v="5"/>
    <n v="99198"/>
    <n v="71.59"/>
    <n v="20"/>
    <n v="44"/>
    <n v="94"/>
    <s v="Medium"/>
    <x v="80"/>
    <x v="0"/>
  </r>
  <r>
    <x v="94"/>
    <x v="94"/>
    <x v="1"/>
    <n v="38"/>
    <s v="Mumbai"/>
    <x v="3"/>
    <s v="Coordinator"/>
    <s v="Masters"/>
    <n v="11"/>
    <n v="81432"/>
    <n v="98.36"/>
    <n v="17"/>
    <n v="14"/>
    <n v="78"/>
    <s v="Medium"/>
    <x v="81"/>
    <x v="1"/>
  </r>
  <r>
    <x v="95"/>
    <x v="95"/>
    <x v="0"/>
    <n v="42"/>
    <s v="Delhi"/>
    <x v="1"/>
    <s v="Business Development Executive"/>
    <s v="Masters"/>
    <n v="11"/>
    <n v="130875"/>
    <n v="72.349999999999994"/>
    <n v="5"/>
    <n v="26"/>
    <n v="99"/>
    <s v="Medium"/>
    <x v="82"/>
    <x v="0"/>
  </r>
  <r>
    <x v="96"/>
    <x v="96"/>
    <x v="0"/>
    <n v="49"/>
    <s v="Mumbai"/>
    <x v="5"/>
    <s v="Content Strategist"/>
    <s v="MBA"/>
    <n v="20"/>
    <n v="47974"/>
    <n v="99.47"/>
    <n v="10"/>
    <n v="47"/>
    <n v="44"/>
    <s v="High"/>
    <x v="30"/>
    <x v="1"/>
  </r>
  <r>
    <x v="97"/>
    <x v="97"/>
    <x v="0"/>
    <n v="51"/>
    <s v="Hyderabad"/>
    <x v="5"/>
    <s v="SEO Analyst"/>
    <s v="Diploma"/>
    <n v="11"/>
    <n v="55731"/>
    <n v="78.7"/>
    <n v="16"/>
    <n v="47"/>
    <n v="77"/>
    <s v="Medium"/>
    <x v="83"/>
    <x v="1"/>
  </r>
  <r>
    <x v="98"/>
    <x v="98"/>
    <x v="1"/>
    <n v="54"/>
    <s v="Delhi"/>
    <x v="0"/>
    <s v="HR Manager"/>
    <s v="MBA"/>
    <n v="4"/>
    <n v="62802"/>
    <n v="96.79"/>
    <n v="18"/>
    <n v="18"/>
    <n v="82"/>
    <s v="High"/>
    <x v="84"/>
    <x v="1"/>
  </r>
  <r>
    <x v="99"/>
    <x v="99"/>
    <x v="0"/>
    <n v="57"/>
    <s v="Delhi"/>
    <x v="1"/>
    <s v="Sales Manager"/>
    <s v="Masters"/>
    <n v="20"/>
    <n v="71686"/>
    <n v="75.08"/>
    <n v="8"/>
    <n v="3"/>
    <n v="84"/>
    <s v="High"/>
    <x v="61"/>
    <x v="0"/>
  </r>
  <r>
    <x v="100"/>
    <x v="100"/>
    <x v="0"/>
    <n v="42"/>
    <s v="Hyderabad"/>
    <x v="1"/>
    <s v="Sales Executive"/>
    <s v="Masters"/>
    <n v="8"/>
    <n v="144466"/>
    <n v="84.21"/>
    <n v="3"/>
    <n v="2"/>
    <n v="117"/>
    <s v="High"/>
    <x v="85"/>
    <x v="0"/>
  </r>
  <r>
    <x v="101"/>
    <x v="101"/>
    <x v="0"/>
    <n v="26"/>
    <s v="Delhi"/>
    <x v="5"/>
    <s v="SEO Analyst"/>
    <s v="Diploma"/>
    <n v="0"/>
    <n v="114532"/>
    <n v="83.06"/>
    <n v="3"/>
    <n v="39"/>
    <n v="22"/>
    <s v="High"/>
    <x v="86"/>
    <x v="0"/>
  </r>
  <r>
    <x v="102"/>
    <x v="102"/>
    <x v="0"/>
    <n v="31"/>
    <s v="Pune"/>
    <x v="1"/>
    <s v="Sales Executive"/>
    <s v="Masters"/>
    <n v="1"/>
    <n v="141632"/>
    <n v="93.96"/>
    <n v="6"/>
    <n v="33"/>
    <n v="18"/>
    <s v="Medium"/>
    <x v="87"/>
    <x v="0"/>
  </r>
  <r>
    <x v="103"/>
    <x v="103"/>
    <x v="0"/>
    <n v="27"/>
    <s v="Delhi"/>
    <x v="0"/>
    <s v="Recruiter"/>
    <s v="Diploma"/>
    <n v="3"/>
    <n v="49077"/>
    <n v="94.49"/>
    <n v="12"/>
    <n v="37"/>
    <n v="83"/>
    <s v="Medium"/>
    <x v="88"/>
    <x v="1"/>
  </r>
  <r>
    <x v="104"/>
    <x v="104"/>
    <x v="0"/>
    <n v="56"/>
    <s v="Delhi"/>
    <x v="3"/>
    <s v="Supervisor"/>
    <s v="Diploma"/>
    <n v="1"/>
    <n v="41923"/>
    <n v="70.84"/>
    <n v="20"/>
    <n v="12"/>
    <n v="80"/>
    <s v="High"/>
    <x v="89"/>
    <x v="0"/>
  </r>
  <r>
    <x v="105"/>
    <x v="105"/>
    <x v="0"/>
    <n v="27"/>
    <s v="Bangalore"/>
    <x v="1"/>
    <s v="Business Development Executive"/>
    <s v="Masters"/>
    <n v="0"/>
    <n v="34174"/>
    <n v="70.13"/>
    <n v="10"/>
    <n v="49"/>
    <n v="86"/>
    <s v="High"/>
    <x v="90"/>
    <x v="0"/>
  </r>
  <r>
    <x v="106"/>
    <x v="106"/>
    <x v="0"/>
    <n v="39"/>
    <s v="Mumbai"/>
    <x v="3"/>
    <s v="Coordinator"/>
    <s v="Masters"/>
    <n v="10"/>
    <n v="113829"/>
    <n v="82.59"/>
    <n v="2"/>
    <n v="53"/>
    <n v="72"/>
    <s v="Low"/>
    <x v="91"/>
    <x v="0"/>
  </r>
  <r>
    <x v="107"/>
    <x v="107"/>
    <x v="0"/>
    <n v="52"/>
    <s v="Delhi"/>
    <x v="4"/>
    <s v="Auditor"/>
    <s v="Masters"/>
    <n v="3"/>
    <n v="158857"/>
    <n v="70.59"/>
    <n v="6"/>
    <n v="32"/>
    <n v="107"/>
    <s v="Low"/>
    <x v="92"/>
    <x v="0"/>
  </r>
  <r>
    <x v="108"/>
    <x v="108"/>
    <x v="0"/>
    <n v="48"/>
    <s v="Pune"/>
    <x v="1"/>
    <s v="Sales Executive"/>
    <s v="Diploma"/>
    <n v="5"/>
    <n v="48727"/>
    <n v="80.44"/>
    <n v="1"/>
    <n v="6"/>
    <n v="11"/>
    <s v="Medium"/>
    <x v="93"/>
    <x v="0"/>
  </r>
  <r>
    <x v="109"/>
    <x v="109"/>
    <x v="1"/>
    <n v="39"/>
    <s v="Mumbai"/>
    <x v="0"/>
    <s v="HR Executive"/>
    <s v="Masters"/>
    <n v="7"/>
    <n v="66051"/>
    <n v="92.59"/>
    <n v="1"/>
    <n v="14"/>
    <n v="73"/>
    <s v="Low"/>
    <x v="94"/>
    <x v="0"/>
  </r>
  <r>
    <x v="110"/>
    <x v="110"/>
    <x v="0"/>
    <n v="39"/>
    <s v="Delhi"/>
    <x v="3"/>
    <s v="Supervisor"/>
    <s v="Diploma"/>
    <n v="16"/>
    <n v="98178"/>
    <n v="71.900000000000006"/>
    <n v="16"/>
    <n v="10"/>
    <n v="74"/>
    <s v="Medium"/>
    <x v="95"/>
    <x v="0"/>
  </r>
  <r>
    <x v="111"/>
    <x v="111"/>
    <x v="1"/>
    <n v="27"/>
    <s v="Bangalore"/>
    <x v="0"/>
    <s v="HR Executive"/>
    <s v="MBA"/>
    <n v="6"/>
    <n v="48051"/>
    <n v="87.32"/>
    <n v="14"/>
    <n v="26"/>
    <n v="97"/>
    <s v="Medium"/>
    <x v="96"/>
    <x v="1"/>
  </r>
  <r>
    <x v="112"/>
    <x v="112"/>
    <x v="1"/>
    <n v="28"/>
    <s v="Hyderabad"/>
    <x v="0"/>
    <s v="HR Manager"/>
    <s v="Masters"/>
    <n v="2"/>
    <n v="83976"/>
    <n v="77.489999999999995"/>
    <n v="20"/>
    <n v="2"/>
    <n v="76"/>
    <s v="Medium"/>
    <x v="97"/>
    <x v="0"/>
  </r>
  <r>
    <x v="113"/>
    <x v="113"/>
    <x v="0"/>
    <n v="55"/>
    <s v="Chennai"/>
    <x v="3"/>
    <s v="Supervisor"/>
    <s v="MBA"/>
    <n v="19"/>
    <n v="120000"/>
    <n v="65.150000000000006"/>
    <n v="20"/>
    <n v="27"/>
    <n v="63"/>
    <s v="High"/>
    <x v="98"/>
    <x v="0"/>
  </r>
  <r>
    <x v="114"/>
    <x v="114"/>
    <x v="1"/>
    <n v="55"/>
    <s v="Chennai"/>
    <x v="3"/>
    <s v="Coordinator"/>
    <s v="MBA"/>
    <n v="28"/>
    <n v="48399"/>
    <n v="67.25"/>
    <n v="15"/>
    <n v="43"/>
    <n v="96"/>
    <s v="Medium"/>
    <x v="99"/>
    <x v="0"/>
  </r>
  <r>
    <x v="115"/>
    <x v="115"/>
    <x v="0"/>
    <n v="39"/>
    <s v="Hyderabad"/>
    <x v="2"/>
    <s v="Data Analyst"/>
    <s v="MBA"/>
    <n v="10"/>
    <n v="133945"/>
    <n v="67.989999999999995"/>
    <n v="9"/>
    <n v="52"/>
    <n v="108"/>
    <s v="Medium"/>
    <x v="100"/>
    <x v="0"/>
  </r>
  <r>
    <x v="116"/>
    <x v="116"/>
    <x v="1"/>
    <n v="40"/>
    <s v="Mumbai"/>
    <x v="0"/>
    <s v="HR Executive"/>
    <s v="Diploma"/>
    <n v="14"/>
    <n v="83799"/>
    <n v="98.55"/>
    <n v="11"/>
    <n v="35"/>
    <n v="72"/>
    <s v="Medium"/>
    <x v="101"/>
    <x v="0"/>
  </r>
  <r>
    <x v="117"/>
    <x v="117"/>
    <x v="1"/>
    <n v="33"/>
    <s v="Pune"/>
    <x v="5"/>
    <s v="Content Strategist"/>
    <s v="MBA"/>
    <n v="12"/>
    <n v="121967"/>
    <n v="69.790000000000006"/>
    <n v="13"/>
    <n v="2"/>
    <n v="48"/>
    <s v="Low"/>
    <x v="102"/>
    <x v="0"/>
  </r>
  <r>
    <x v="118"/>
    <x v="118"/>
    <x v="0"/>
    <n v="57"/>
    <s v="Bangalore"/>
    <x v="5"/>
    <s v="Content Strategist"/>
    <s v="Diploma"/>
    <n v="30"/>
    <n v="127077"/>
    <n v="79.3"/>
    <n v="17"/>
    <n v="25"/>
    <n v="25"/>
    <s v="High"/>
    <x v="103"/>
    <x v="1"/>
  </r>
  <r>
    <x v="119"/>
    <x v="119"/>
    <x v="0"/>
    <n v="26"/>
    <s v="Hyderabad"/>
    <x v="2"/>
    <s v="Data Analyst"/>
    <s v="MBA"/>
    <n v="2"/>
    <n v="150559"/>
    <n v="89.56"/>
    <n v="6"/>
    <n v="44"/>
    <n v="19"/>
    <s v="High"/>
    <x v="104"/>
    <x v="0"/>
  </r>
  <r>
    <x v="120"/>
    <x v="120"/>
    <x v="0"/>
    <n v="50"/>
    <s v="Chennai"/>
    <x v="4"/>
    <s v="Financial Analyst"/>
    <s v="Diploma"/>
    <n v="11"/>
    <n v="111969"/>
    <n v="74.95"/>
    <n v="19"/>
    <n v="25"/>
    <n v="21"/>
    <s v="High"/>
    <x v="105"/>
    <x v="0"/>
  </r>
  <r>
    <x v="121"/>
    <x v="121"/>
    <x v="1"/>
    <n v="41"/>
    <s v="Bangalore"/>
    <x v="3"/>
    <s v="Coordinator"/>
    <s v="Diploma"/>
    <n v="4"/>
    <n v="59501"/>
    <n v="66.849999999999994"/>
    <n v="17"/>
    <n v="1"/>
    <n v="84"/>
    <s v="High"/>
    <x v="106"/>
    <x v="0"/>
  </r>
  <r>
    <x v="122"/>
    <x v="122"/>
    <x v="0"/>
    <n v="36"/>
    <s v="Delhi"/>
    <x v="4"/>
    <s v="Financial Analyst"/>
    <s v="Masters"/>
    <n v="3"/>
    <n v="157536"/>
    <n v="72.790000000000006"/>
    <n v="6"/>
    <n v="60"/>
    <n v="85"/>
    <s v="Medium"/>
    <x v="107"/>
    <x v="0"/>
  </r>
  <r>
    <x v="123"/>
    <x v="123"/>
    <x v="1"/>
    <n v="34"/>
    <s v="Chennai"/>
    <x v="4"/>
    <s v="Accountant"/>
    <s v="Diploma"/>
    <n v="3"/>
    <n v="142693"/>
    <n v="77.45"/>
    <n v="16"/>
    <n v="36"/>
    <n v="18"/>
    <s v="Low"/>
    <x v="108"/>
    <x v="0"/>
  </r>
  <r>
    <x v="124"/>
    <x v="124"/>
    <x v="1"/>
    <n v="25"/>
    <s v="Hyderabad"/>
    <x v="0"/>
    <s v="HR Executive"/>
    <s v="Bachelors"/>
    <n v="4"/>
    <n v="90173"/>
    <n v="87.79"/>
    <n v="7"/>
    <n v="55"/>
    <n v="91"/>
    <s v="Medium"/>
    <x v="109"/>
    <x v="0"/>
  </r>
  <r>
    <x v="125"/>
    <x v="125"/>
    <x v="0"/>
    <n v="43"/>
    <s v="Delhi"/>
    <x v="5"/>
    <s v="SEO Analyst"/>
    <s v="Diploma"/>
    <n v="7"/>
    <n v="105356"/>
    <n v="99.68"/>
    <n v="15"/>
    <n v="27"/>
    <n v="24"/>
    <s v="Medium"/>
    <x v="110"/>
    <x v="0"/>
  </r>
  <r>
    <x v="126"/>
    <x v="126"/>
    <x v="1"/>
    <n v="58"/>
    <s v="Mumbai"/>
    <x v="4"/>
    <s v="Auditor"/>
    <s v="Masters"/>
    <n v="29"/>
    <n v="89090"/>
    <n v="87.36"/>
    <n v="16"/>
    <n v="13"/>
    <n v="72"/>
    <s v="Medium"/>
    <x v="111"/>
    <x v="1"/>
  </r>
  <r>
    <x v="127"/>
    <x v="127"/>
    <x v="1"/>
    <n v="29"/>
    <s v="Mumbai"/>
    <x v="2"/>
    <s v="Software Engineer"/>
    <s v="MBA"/>
    <n v="8"/>
    <n v="69720"/>
    <n v="82.82"/>
    <n v="1"/>
    <n v="19"/>
    <n v="94"/>
    <s v="Low"/>
    <x v="112"/>
    <x v="0"/>
  </r>
  <r>
    <x v="128"/>
    <x v="128"/>
    <x v="0"/>
    <n v="46"/>
    <s v="Hyderabad"/>
    <x v="2"/>
    <s v="DevOps Engineer"/>
    <s v="Masters"/>
    <n v="12"/>
    <n v="107227"/>
    <n v="94.82"/>
    <n v="12"/>
    <n v="44"/>
    <n v="67"/>
    <s v="Medium"/>
    <x v="113"/>
    <x v="0"/>
  </r>
  <r>
    <x v="129"/>
    <x v="129"/>
    <x v="0"/>
    <n v="27"/>
    <s v="Bangalore"/>
    <x v="0"/>
    <s v="HR Executive"/>
    <s v="MBA"/>
    <n v="5"/>
    <n v="48508"/>
    <n v="94.16"/>
    <n v="15"/>
    <n v="15"/>
    <n v="53"/>
    <s v="Low"/>
    <x v="114"/>
    <x v="0"/>
  </r>
  <r>
    <x v="130"/>
    <x v="130"/>
    <x v="0"/>
    <n v="38"/>
    <s v="Hyderabad"/>
    <x v="5"/>
    <s v="Marketing Executive"/>
    <s v="MBA"/>
    <n v="6"/>
    <n v="107896"/>
    <n v="65.14"/>
    <n v="12"/>
    <n v="17"/>
    <n v="29"/>
    <s v="Low"/>
    <x v="115"/>
    <x v="0"/>
  </r>
  <r>
    <x v="131"/>
    <x v="131"/>
    <x v="0"/>
    <n v="27"/>
    <s v="Hyderabad"/>
    <x v="3"/>
    <s v="Coordinator"/>
    <s v="Diploma"/>
    <n v="1"/>
    <n v="73416"/>
    <n v="94.22"/>
    <n v="18"/>
    <n v="22"/>
    <n v="62"/>
    <s v="Medium"/>
    <x v="116"/>
    <x v="0"/>
  </r>
  <r>
    <x v="132"/>
    <x v="132"/>
    <x v="1"/>
    <n v="57"/>
    <s v="Bangalore"/>
    <x v="5"/>
    <s v="Marketing Executive"/>
    <s v="Masters"/>
    <n v="25"/>
    <n v="112582"/>
    <n v="75.930000000000007"/>
    <n v="15"/>
    <n v="2"/>
    <n v="27"/>
    <s v="Low"/>
    <x v="70"/>
    <x v="0"/>
  </r>
  <r>
    <x v="133"/>
    <x v="133"/>
    <x v="1"/>
    <n v="41"/>
    <s v="Chennai"/>
    <x v="5"/>
    <s v="Marketing Executive"/>
    <s v="Masters"/>
    <n v="12"/>
    <n v="126032"/>
    <n v="95.45"/>
    <n v="13"/>
    <n v="11"/>
    <n v="16"/>
    <s v="Medium"/>
    <x v="117"/>
    <x v="0"/>
  </r>
  <r>
    <x v="134"/>
    <x v="134"/>
    <x v="0"/>
    <n v="50"/>
    <s v="Mumbai"/>
    <x v="4"/>
    <s v="Auditor"/>
    <s v="Masters"/>
    <n v="2"/>
    <n v="52899"/>
    <n v="90.4"/>
    <n v="16"/>
    <n v="14"/>
    <n v="71"/>
    <s v="High"/>
    <x v="118"/>
    <x v="0"/>
  </r>
  <r>
    <x v="135"/>
    <x v="135"/>
    <x v="0"/>
    <n v="34"/>
    <s v="Pune"/>
    <x v="0"/>
    <s v="HR Manager"/>
    <s v="MBA"/>
    <n v="1"/>
    <n v="70788"/>
    <n v="82.9"/>
    <n v="17"/>
    <n v="44"/>
    <n v="77"/>
    <s v="Low"/>
    <x v="119"/>
    <x v="0"/>
  </r>
  <r>
    <x v="136"/>
    <x v="136"/>
    <x v="1"/>
    <n v="47"/>
    <s v="Chennai"/>
    <x v="4"/>
    <s v="Auditor"/>
    <s v="Bachelors"/>
    <n v="25"/>
    <n v="100029"/>
    <n v="98.84"/>
    <n v="2"/>
    <n v="57"/>
    <n v="75"/>
    <s v="High"/>
    <x v="120"/>
    <x v="0"/>
  </r>
  <r>
    <x v="137"/>
    <x v="137"/>
    <x v="0"/>
    <n v="52"/>
    <s v="Mumbai"/>
    <x v="0"/>
    <s v="HR Manager"/>
    <s v="Masters"/>
    <n v="18"/>
    <n v="46055"/>
    <n v="97.38"/>
    <n v="8"/>
    <n v="7"/>
    <n v="36"/>
    <s v="Medium"/>
    <x v="121"/>
    <x v="0"/>
  </r>
  <r>
    <x v="138"/>
    <x v="138"/>
    <x v="0"/>
    <n v="53"/>
    <s v="Pune"/>
    <x v="0"/>
    <s v="HR Executive"/>
    <s v="Masters"/>
    <n v="20"/>
    <n v="98761"/>
    <n v="92.94"/>
    <n v="7"/>
    <n v="55"/>
    <n v="56"/>
    <s v="High"/>
    <x v="6"/>
    <x v="0"/>
  </r>
  <r>
    <x v="139"/>
    <x v="139"/>
    <x v="1"/>
    <n v="38"/>
    <s v="Chennai"/>
    <x v="1"/>
    <s v="Sales Executive"/>
    <s v="Diploma"/>
    <n v="15"/>
    <n v="118014"/>
    <n v="83.52"/>
    <n v="20"/>
    <n v="18"/>
    <n v="39"/>
    <s v="High"/>
    <x v="122"/>
    <x v="1"/>
  </r>
  <r>
    <x v="140"/>
    <x v="140"/>
    <x v="1"/>
    <n v="46"/>
    <s v="Chennai"/>
    <x v="3"/>
    <s v="Coordinator"/>
    <s v="Diploma"/>
    <n v="19"/>
    <n v="92746"/>
    <n v="72.17"/>
    <n v="7"/>
    <n v="39"/>
    <n v="55"/>
    <s v="Low"/>
    <x v="62"/>
    <x v="0"/>
  </r>
  <r>
    <x v="141"/>
    <x v="141"/>
    <x v="0"/>
    <n v="58"/>
    <s v="Bangalore"/>
    <x v="3"/>
    <s v="Supervisor"/>
    <s v="MBA"/>
    <n v="28"/>
    <n v="112755"/>
    <n v="71.03"/>
    <n v="15"/>
    <n v="3"/>
    <n v="10"/>
    <s v="Low"/>
    <x v="101"/>
    <x v="0"/>
  </r>
  <r>
    <x v="142"/>
    <x v="142"/>
    <x v="1"/>
    <n v="39"/>
    <s v="Hyderabad"/>
    <x v="0"/>
    <s v="HR Executive"/>
    <s v="Bachelors"/>
    <n v="8"/>
    <n v="53885"/>
    <n v="69.03"/>
    <n v="17"/>
    <n v="13"/>
    <n v="45"/>
    <s v="Low"/>
    <x v="73"/>
    <x v="0"/>
  </r>
  <r>
    <x v="143"/>
    <x v="143"/>
    <x v="0"/>
    <n v="38"/>
    <s v="Bangalore"/>
    <x v="3"/>
    <s v="Coordinator"/>
    <s v="Bachelors"/>
    <n v="1"/>
    <n v="43741"/>
    <n v="81.33"/>
    <n v="9"/>
    <n v="45"/>
    <n v="92"/>
    <s v="Low"/>
    <x v="2"/>
    <x v="0"/>
  </r>
  <r>
    <x v="144"/>
    <x v="144"/>
    <x v="0"/>
    <n v="52"/>
    <s v="Pune"/>
    <x v="3"/>
    <s v="Coordinator"/>
    <s v="MBA"/>
    <n v="31"/>
    <n v="36318"/>
    <n v="92.52"/>
    <n v="5"/>
    <n v="23"/>
    <n v="50"/>
    <s v="High"/>
    <x v="45"/>
    <x v="0"/>
  </r>
  <r>
    <x v="145"/>
    <x v="145"/>
    <x v="1"/>
    <n v="53"/>
    <s v="Delhi"/>
    <x v="2"/>
    <s v="Software Engineer"/>
    <s v="Diploma"/>
    <n v="21"/>
    <n v="151100"/>
    <n v="86.25"/>
    <n v="15"/>
    <n v="18"/>
    <n v="9"/>
    <s v="Low"/>
    <x v="123"/>
    <x v="0"/>
  </r>
  <r>
    <x v="146"/>
    <x v="146"/>
    <x v="1"/>
    <n v="28"/>
    <s v="Delhi"/>
    <x v="5"/>
    <s v="Content Strategist"/>
    <s v="Masters"/>
    <n v="5"/>
    <n v="74387"/>
    <n v="70.150000000000006"/>
    <n v="8"/>
    <n v="52"/>
    <n v="113"/>
    <s v="Medium"/>
    <x v="124"/>
    <x v="0"/>
  </r>
  <r>
    <x v="147"/>
    <x v="147"/>
    <x v="0"/>
    <n v="54"/>
    <s v="Pune"/>
    <x v="2"/>
    <s v="System Admin"/>
    <s v="Bachelors"/>
    <n v="6"/>
    <n v="77789"/>
    <n v="80.89"/>
    <n v="4"/>
    <n v="37"/>
    <n v="70"/>
    <s v="Low"/>
    <x v="125"/>
    <x v="0"/>
  </r>
  <r>
    <x v="148"/>
    <x v="148"/>
    <x v="0"/>
    <n v="24"/>
    <s v="Hyderabad"/>
    <x v="3"/>
    <s v="Supervisor"/>
    <s v="Bachelors"/>
    <n v="1"/>
    <n v="101526"/>
    <n v="80.58"/>
    <n v="16"/>
    <n v="47"/>
    <n v="29"/>
    <s v="High"/>
    <x v="91"/>
    <x v="0"/>
  </r>
  <r>
    <x v="149"/>
    <x v="149"/>
    <x v="0"/>
    <n v="22"/>
    <s v="Chennai"/>
    <x v="3"/>
    <s v="Operations Executive"/>
    <s v="Bachelors"/>
    <n v="0"/>
    <n v="113303"/>
    <n v="84.89"/>
    <n v="13"/>
    <n v="38"/>
    <n v="5"/>
    <s v="High"/>
    <x v="126"/>
    <x v="0"/>
  </r>
  <r>
    <x v="150"/>
    <x v="150"/>
    <x v="0"/>
    <n v="33"/>
    <s v="Pune"/>
    <x v="3"/>
    <s v="Supervisor"/>
    <s v="Masters"/>
    <n v="8"/>
    <n v="81129"/>
    <n v="79.77"/>
    <n v="1"/>
    <n v="58"/>
    <n v="88"/>
    <s v="High"/>
    <x v="127"/>
    <x v="0"/>
  </r>
  <r>
    <x v="151"/>
    <x v="151"/>
    <x v="1"/>
    <n v="35"/>
    <s v="Delhi"/>
    <x v="5"/>
    <s v="Content Strategist"/>
    <s v="Diploma"/>
    <n v="6"/>
    <n v="87326"/>
    <n v="70.2"/>
    <n v="12"/>
    <n v="5"/>
    <n v="92"/>
    <s v="High"/>
    <x v="128"/>
    <x v="0"/>
  </r>
  <r>
    <x v="152"/>
    <x v="152"/>
    <x v="1"/>
    <n v="22"/>
    <s v="Chennai"/>
    <x v="5"/>
    <s v="Content Strategist"/>
    <s v="Diploma"/>
    <n v="1"/>
    <n v="56763"/>
    <n v="71.31"/>
    <n v="7"/>
    <n v="4"/>
    <n v="114"/>
    <s v="High"/>
    <x v="129"/>
    <x v="0"/>
  </r>
  <r>
    <x v="153"/>
    <x v="153"/>
    <x v="0"/>
    <n v="52"/>
    <s v="Hyderabad"/>
    <x v="4"/>
    <s v="Financial Analyst"/>
    <s v="Bachelors"/>
    <n v="21"/>
    <n v="101261"/>
    <n v="83.45"/>
    <n v="19"/>
    <n v="26"/>
    <n v="115"/>
    <s v="High"/>
    <x v="130"/>
    <x v="1"/>
  </r>
  <r>
    <x v="154"/>
    <x v="154"/>
    <x v="0"/>
    <n v="44"/>
    <s v="Pune"/>
    <x v="3"/>
    <s v="Supervisor"/>
    <s v="Diploma"/>
    <n v="17"/>
    <n v="93669"/>
    <n v="71.91"/>
    <n v="2"/>
    <n v="45"/>
    <n v="5"/>
    <s v="Low"/>
    <x v="131"/>
    <x v="0"/>
  </r>
  <r>
    <x v="155"/>
    <x v="155"/>
    <x v="1"/>
    <n v="36"/>
    <s v="Hyderabad"/>
    <x v="4"/>
    <s v="Auditor"/>
    <s v="Diploma"/>
    <n v="1"/>
    <n v="95028"/>
    <n v="65.540000000000006"/>
    <n v="2"/>
    <n v="21"/>
    <n v="7"/>
    <s v="Low"/>
    <x v="132"/>
    <x v="0"/>
  </r>
  <r>
    <x v="156"/>
    <x v="156"/>
    <x v="0"/>
    <n v="49"/>
    <s v="Chennai"/>
    <x v="0"/>
    <s v="HR Executive"/>
    <s v="Diploma"/>
    <n v="8"/>
    <n v="83752"/>
    <n v="91.4"/>
    <n v="6"/>
    <n v="5"/>
    <n v="101"/>
    <s v="Low"/>
    <x v="133"/>
    <x v="0"/>
  </r>
  <r>
    <x v="157"/>
    <x v="157"/>
    <x v="0"/>
    <n v="23"/>
    <s v="Bangalore"/>
    <x v="1"/>
    <s v="Sales Manager"/>
    <s v="Diploma"/>
    <n v="0"/>
    <n v="145648"/>
    <n v="81.27"/>
    <n v="18"/>
    <n v="40"/>
    <n v="70"/>
    <s v="Low"/>
    <x v="134"/>
    <x v="0"/>
  </r>
  <r>
    <x v="158"/>
    <x v="158"/>
    <x v="0"/>
    <n v="38"/>
    <s v="Bangalore"/>
    <x v="2"/>
    <s v="Data Analyst"/>
    <s v="Diploma"/>
    <n v="15"/>
    <n v="77854"/>
    <n v="69.540000000000006"/>
    <n v="7"/>
    <n v="21"/>
    <n v="99"/>
    <s v="Medium"/>
    <x v="135"/>
    <x v="0"/>
  </r>
  <r>
    <x v="159"/>
    <x v="159"/>
    <x v="1"/>
    <n v="43"/>
    <s v="Bangalore"/>
    <x v="5"/>
    <s v="Marketing Executive"/>
    <s v="Diploma"/>
    <n v="21"/>
    <n v="45045"/>
    <n v="95.38"/>
    <n v="5"/>
    <n v="12"/>
    <n v="64"/>
    <s v="Low"/>
    <x v="136"/>
    <x v="0"/>
  </r>
  <r>
    <x v="160"/>
    <x v="160"/>
    <x v="1"/>
    <n v="29"/>
    <s v="Bangalore"/>
    <x v="3"/>
    <s v="Operations Executive"/>
    <s v="MBA"/>
    <n v="8"/>
    <n v="103846"/>
    <n v="70.05"/>
    <n v="20"/>
    <n v="6"/>
    <n v="92"/>
    <s v="High"/>
    <x v="137"/>
    <x v="1"/>
  </r>
  <r>
    <x v="161"/>
    <x v="161"/>
    <x v="0"/>
    <n v="51"/>
    <s v="Delhi"/>
    <x v="0"/>
    <s v="HR Executive"/>
    <s v="Diploma"/>
    <n v="26"/>
    <n v="91974"/>
    <n v="80.55"/>
    <n v="11"/>
    <n v="44"/>
    <n v="55"/>
    <s v="Medium"/>
    <x v="138"/>
    <x v="0"/>
  </r>
  <r>
    <x v="162"/>
    <x v="162"/>
    <x v="0"/>
    <n v="28"/>
    <s v="Chennai"/>
    <x v="4"/>
    <s v="Accountant"/>
    <s v="MBA"/>
    <n v="2"/>
    <n v="74962"/>
    <n v="93.42"/>
    <n v="19"/>
    <n v="29"/>
    <n v="115"/>
    <s v="High"/>
    <x v="56"/>
    <x v="0"/>
  </r>
  <r>
    <x v="163"/>
    <x v="163"/>
    <x v="1"/>
    <n v="36"/>
    <s v="Bangalore"/>
    <x v="1"/>
    <s v="Business Development Executive"/>
    <s v="Diploma"/>
    <n v="12"/>
    <n v="95162"/>
    <n v="67.3"/>
    <n v="20"/>
    <n v="2"/>
    <n v="37"/>
    <s v="High"/>
    <x v="139"/>
    <x v="0"/>
  </r>
  <r>
    <x v="164"/>
    <x v="164"/>
    <x v="0"/>
    <n v="42"/>
    <s v="Delhi"/>
    <x v="5"/>
    <s v="Content Strategist"/>
    <s v="Diploma"/>
    <n v="18"/>
    <n v="86532"/>
    <n v="81.06"/>
    <n v="4"/>
    <n v="2"/>
    <n v="64"/>
    <s v="Low"/>
    <x v="63"/>
    <x v="0"/>
  </r>
  <r>
    <x v="165"/>
    <x v="165"/>
    <x v="0"/>
    <n v="37"/>
    <s v="Pune"/>
    <x v="2"/>
    <s v="DevOps Engineer"/>
    <s v="MBA"/>
    <n v="12"/>
    <n v="114219"/>
    <n v="77.8"/>
    <n v="18"/>
    <n v="42"/>
    <n v="36"/>
    <s v="Low"/>
    <x v="99"/>
    <x v="0"/>
  </r>
  <r>
    <x v="166"/>
    <x v="166"/>
    <x v="1"/>
    <n v="25"/>
    <s v="Chennai"/>
    <x v="0"/>
    <s v="HR Executive"/>
    <s v="Masters"/>
    <n v="0"/>
    <n v="89508"/>
    <n v="66.77"/>
    <n v="16"/>
    <n v="2"/>
    <n v="103"/>
    <s v="Low"/>
    <x v="140"/>
    <x v="0"/>
  </r>
  <r>
    <x v="167"/>
    <x v="167"/>
    <x v="1"/>
    <n v="57"/>
    <s v="Hyderabad"/>
    <x v="0"/>
    <s v="Recruiter"/>
    <s v="Masters"/>
    <n v="28"/>
    <n v="86302"/>
    <n v="92.96"/>
    <n v="1"/>
    <n v="0"/>
    <n v="111"/>
    <s v="High"/>
    <x v="141"/>
    <x v="0"/>
  </r>
  <r>
    <x v="168"/>
    <x v="168"/>
    <x v="0"/>
    <n v="57"/>
    <s v="Delhi"/>
    <x v="0"/>
    <s v="HR Manager"/>
    <s v="Bachelors"/>
    <n v="8"/>
    <n v="55149"/>
    <n v="74.709999999999994"/>
    <n v="4"/>
    <n v="22"/>
    <n v="5"/>
    <s v="Medium"/>
    <x v="142"/>
    <x v="0"/>
  </r>
  <r>
    <x v="169"/>
    <x v="169"/>
    <x v="1"/>
    <n v="32"/>
    <s v="Pune"/>
    <x v="2"/>
    <s v="Data Analyst"/>
    <s v="Diploma"/>
    <n v="0"/>
    <n v="161797"/>
    <n v="68.069999999999993"/>
    <n v="2"/>
    <n v="29"/>
    <n v="80"/>
    <s v="Low"/>
    <x v="143"/>
    <x v="0"/>
  </r>
  <r>
    <x v="170"/>
    <x v="170"/>
    <x v="1"/>
    <n v="28"/>
    <s v="Mumbai"/>
    <x v="5"/>
    <s v="Content Strategist"/>
    <s v="Bachelors"/>
    <n v="1"/>
    <n v="62056"/>
    <n v="67.959999999999994"/>
    <n v="4"/>
    <n v="50"/>
    <n v="16"/>
    <s v="Low"/>
    <x v="144"/>
    <x v="0"/>
  </r>
  <r>
    <x v="171"/>
    <x v="171"/>
    <x v="1"/>
    <n v="43"/>
    <s v="Bangalore"/>
    <x v="4"/>
    <s v="Accountant"/>
    <s v="Masters"/>
    <n v="5"/>
    <n v="130153"/>
    <n v="79.61"/>
    <n v="9"/>
    <n v="0"/>
    <n v="21"/>
    <s v="Medium"/>
    <x v="145"/>
    <x v="0"/>
  </r>
  <r>
    <x v="172"/>
    <x v="172"/>
    <x v="0"/>
    <n v="49"/>
    <s v="Mumbai"/>
    <x v="2"/>
    <s v="Data Analyst"/>
    <s v="Diploma"/>
    <n v="22"/>
    <n v="160959"/>
    <n v="77.17"/>
    <n v="8"/>
    <n v="17"/>
    <n v="42"/>
    <s v="Medium"/>
    <x v="146"/>
    <x v="0"/>
  </r>
  <r>
    <x v="173"/>
    <x v="173"/>
    <x v="1"/>
    <n v="37"/>
    <s v="Bangalore"/>
    <x v="3"/>
    <s v="Operations Executive"/>
    <s v="Masters"/>
    <n v="7"/>
    <n v="97478"/>
    <n v="80.13"/>
    <n v="17"/>
    <n v="38"/>
    <n v="77"/>
    <s v="Medium"/>
    <x v="83"/>
    <x v="1"/>
  </r>
  <r>
    <x v="174"/>
    <x v="174"/>
    <x v="0"/>
    <n v="47"/>
    <s v="Hyderabad"/>
    <x v="3"/>
    <s v="Coordinator"/>
    <s v="MBA"/>
    <n v="22"/>
    <n v="83106"/>
    <n v="73.709999999999994"/>
    <n v="13"/>
    <n v="3"/>
    <n v="63"/>
    <s v="Medium"/>
    <x v="8"/>
    <x v="0"/>
  </r>
  <r>
    <x v="175"/>
    <x v="175"/>
    <x v="0"/>
    <n v="51"/>
    <s v="Hyderabad"/>
    <x v="2"/>
    <s v="Data Analyst"/>
    <s v="MBA"/>
    <n v="26"/>
    <n v="105820"/>
    <n v="66.69"/>
    <n v="5"/>
    <n v="19"/>
    <n v="48"/>
    <s v="Low"/>
    <x v="147"/>
    <x v="0"/>
  </r>
  <r>
    <x v="176"/>
    <x v="176"/>
    <x v="0"/>
    <n v="43"/>
    <s v="Bangalore"/>
    <x v="0"/>
    <s v="HR Manager"/>
    <s v="MBA"/>
    <n v="8"/>
    <n v="66545"/>
    <n v="72.36"/>
    <n v="3"/>
    <n v="54"/>
    <n v="66"/>
    <s v="Medium"/>
    <x v="148"/>
    <x v="0"/>
  </r>
  <r>
    <x v="177"/>
    <x v="177"/>
    <x v="0"/>
    <n v="51"/>
    <s v="Delhi"/>
    <x v="0"/>
    <s v="HR Manager"/>
    <s v="Bachelors"/>
    <n v="13"/>
    <n v="60993"/>
    <n v="91.01"/>
    <n v="12"/>
    <n v="37"/>
    <n v="10"/>
    <s v="Medium"/>
    <x v="6"/>
    <x v="0"/>
  </r>
  <r>
    <x v="178"/>
    <x v="178"/>
    <x v="1"/>
    <n v="51"/>
    <s v="Hyderabad"/>
    <x v="2"/>
    <s v="System Admin"/>
    <s v="Bachelors"/>
    <n v="21"/>
    <n v="107061"/>
    <n v="85.64"/>
    <n v="1"/>
    <n v="12"/>
    <n v="37"/>
    <s v="Low"/>
    <x v="9"/>
    <x v="0"/>
  </r>
  <r>
    <x v="179"/>
    <x v="179"/>
    <x v="0"/>
    <n v="57"/>
    <s v="Chennai"/>
    <x v="2"/>
    <s v="System Admin"/>
    <s v="MBA"/>
    <n v="13"/>
    <n v="150840"/>
    <n v="92.28"/>
    <n v="5"/>
    <n v="41"/>
    <n v="29"/>
    <s v="Low"/>
    <x v="109"/>
    <x v="0"/>
  </r>
  <r>
    <x v="180"/>
    <x v="180"/>
    <x v="0"/>
    <n v="49"/>
    <s v="Chennai"/>
    <x v="0"/>
    <s v="Recruiter"/>
    <s v="Masters"/>
    <n v="2"/>
    <n v="95520"/>
    <n v="99.14"/>
    <n v="1"/>
    <n v="42"/>
    <n v="108"/>
    <s v="Medium"/>
    <x v="149"/>
    <x v="0"/>
  </r>
  <r>
    <x v="181"/>
    <x v="181"/>
    <x v="0"/>
    <n v="43"/>
    <s v="Chennai"/>
    <x v="0"/>
    <s v="HR Executive"/>
    <s v="Bachelors"/>
    <n v="13"/>
    <n v="43811"/>
    <n v="68.790000000000006"/>
    <n v="11"/>
    <n v="39"/>
    <n v="87"/>
    <s v="Medium"/>
    <x v="150"/>
    <x v="0"/>
  </r>
  <r>
    <x v="182"/>
    <x v="182"/>
    <x v="0"/>
    <n v="45"/>
    <s v="Mumbai"/>
    <x v="4"/>
    <s v="Financial Analyst"/>
    <s v="Masters"/>
    <n v="5"/>
    <n v="57234"/>
    <n v="66.849999999999994"/>
    <n v="1"/>
    <n v="48"/>
    <n v="17"/>
    <s v="Low"/>
    <x v="151"/>
    <x v="0"/>
  </r>
  <r>
    <x v="183"/>
    <x v="183"/>
    <x v="0"/>
    <n v="52"/>
    <s v="Mumbai"/>
    <x v="2"/>
    <s v="Software Engineer"/>
    <s v="Masters"/>
    <n v="11"/>
    <n v="144790"/>
    <n v="90.22"/>
    <n v="10"/>
    <n v="9"/>
    <n v="119"/>
    <s v="High"/>
    <x v="152"/>
    <x v="0"/>
  </r>
  <r>
    <x v="184"/>
    <x v="184"/>
    <x v="1"/>
    <n v="52"/>
    <s v="Pune"/>
    <x v="0"/>
    <s v="HR Executive"/>
    <s v="Diploma"/>
    <n v="24"/>
    <n v="47093"/>
    <n v="67.17"/>
    <n v="4"/>
    <n v="58"/>
    <n v="60"/>
    <s v="Low"/>
    <x v="147"/>
    <x v="0"/>
  </r>
  <r>
    <x v="185"/>
    <x v="185"/>
    <x v="0"/>
    <n v="34"/>
    <s v="Pune"/>
    <x v="2"/>
    <s v="Data Analyst"/>
    <s v="Masters"/>
    <n v="1"/>
    <n v="141654"/>
    <n v="66.86"/>
    <n v="18"/>
    <n v="2"/>
    <n v="93"/>
    <s v="Medium"/>
    <x v="16"/>
    <x v="0"/>
  </r>
  <r>
    <x v="186"/>
    <x v="186"/>
    <x v="0"/>
    <n v="53"/>
    <s v="Hyderabad"/>
    <x v="5"/>
    <s v="SEO Analyst"/>
    <s v="Bachelors"/>
    <n v="8"/>
    <n v="69503"/>
    <n v="78.989999999999995"/>
    <n v="1"/>
    <n v="53"/>
    <n v="92"/>
    <s v="Medium"/>
    <x v="153"/>
    <x v="0"/>
  </r>
  <r>
    <x v="187"/>
    <x v="187"/>
    <x v="1"/>
    <n v="24"/>
    <s v="Pune"/>
    <x v="2"/>
    <s v="Data Analyst"/>
    <s v="MBA"/>
    <n v="1"/>
    <n v="87392"/>
    <n v="86.84"/>
    <n v="17"/>
    <n v="4"/>
    <n v="32"/>
    <s v="High"/>
    <x v="35"/>
    <x v="0"/>
  </r>
  <r>
    <x v="188"/>
    <x v="188"/>
    <x v="1"/>
    <n v="32"/>
    <s v="Hyderabad"/>
    <x v="4"/>
    <s v="Auditor"/>
    <s v="Diploma"/>
    <n v="9"/>
    <n v="98578"/>
    <n v="73.86"/>
    <n v="18"/>
    <n v="9"/>
    <n v="50"/>
    <s v="High"/>
    <x v="24"/>
    <x v="0"/>
  </r>
  <r>
    <x v="189"/>
    <x v="189"/>
    <x v="0"/>
    <n v="23"/>
    <s v="Mumbai"/>
    <x v="2"/>
    <s v="Software Engineer"/>
    <s v="Bachelors"/>
    <n v="0"/>
    <n v="136519"/>
    <n v="68.22"/>
    <n v="11"/>
    <n v="26"/>
    <n v="97"/>
    <s v="Medium"/>
    <x v="154"/>
    <x v="0"/>
  </r>
  <r>
    <x v="190"/>
    <x v="190"/>
    <x v="1"/>
    <n v="27"/>
    <s v="Mumbai"/>
    <x v="3"/>
    <s v="Supervisor"/>
    <s v="Diploma"/>
    <n v="6"/>
    <n v="99727"/>
    <n v="68.19"/>
    <n v="3"/>
    <n v="34"/>
    <n v="78"/>
    <s v="Low"/>
    <x v="155"/>
    <x v="0"/>
  </r>
  <r>
    <x v="191"/>
    <x v="191"/>
    <x v="1"/>
    <n v="50"/>
    <s v="Mumbai"/>
    <x v="4"/>
    <s v="Auditor"/>
    <s v="MBA"/>
    <n v="26"/>
    <n v="115085"/>
    <n v="78.599999999999994"/>
    <n v="4"/>
    <n v="41"/>
    <n v="86"/>
    <s v="Medium"/>
    <x v="40"/>
    <x v="0"/>
  </r>
  <r>
    <x v="192"/>
    <x v="192"/>
    <x v="1"/>
    <n v="39"/>
    <s v="Bangalore"/>
    <x v="4"/>
    <s v="Financial Analyst"/>
    <s v="Masters"/>
    <n v="14"/>
    <n v="84215"/>
    <n v="71.83"/>
    <n v="11"/>
    <n v="50"/>
    <n v="16"/>
    <s v="Low"/>
    <x v="67"/>
    <x v="0"/>
  </r>
  <r>
    <x v="193"/>
    <x v="193"/>
    <x v="0"/>
    <n v="44"/>
    <s v="Hyderabad"/>
    <x v="1"/>
    <s v="Sales Manager"/>
    <s v="MBA"/>
    <n v="20"/>
    <n v="80772"/>
    <n v="92.8"/>
    <n v="16"/>
    <n v="41"/>
    <n v="24"/>
    <s v="Medium"/>
    <x v="66"/>
    <x v="0"/>
  </r>
  <r>
    <x v="194"/>
    <x v="194"/>
    <x v="1"/>
    <n v="40"/>
    <s v="Hyderabad"/>
    <x v="2"/>
    <s v="Data Analyst"/>
    <s v="Masters"/>
    <n v="7"/>
    <n v="157893"/>
    <n v="81.14"/>
    <n v="10"/>
    <n v="30"/>
    <n v="80"/>
    <s v="Medium"/>
    <x v="156"/>
    <x v="0"/>
  </r>
  <r>
    <x v="195"/>
    <x v="195"/>
    <x v="0"/>
    <n v="56"/>
    <s v="Hyderabad"/>
    <x v="5"/>
    <s v="SEO Analyst"/>
    <s v="Diploma"/>
    <n v="30"/>
    <n v="56906"/>
    <n v="77.95"/>
    <n v="17"/>
    <n v="30"/>
    <n v="17"/>
    <s v="High"/>
    <x v="157"/>
    <x v="1"/>
  </r>
  <r>
    <x v="196"/>
    <x v="196"/>
    <x v="1"/>
    <n v="51"/>
    <s v="Bangalore"/>
    <x v="5"/>
    <s v="Marketing Executive"/>
    <s v="Masters"/>
    <n v="12"/>
    <n v="102787"/>
    <n v="77.45"/>
    <n v="4"/>
    <n v="26"/>
    <n v="68"/>
    <s v="Medium"/>
    <x v="158"/>
    <x v="0"/>
  </r>
  <r>
    <x v="197"/>
    <x v="197"/>
    <x v="1"/>
    <n v="32"/>
    <s v="Pune"/>
    <x v="5"/>
    <s v="Content Strategist"/>
    <s v="Masters"/>
    <n v="11"/>
    <n v="108545"/>
    <n v="76.900000000000006"/>
    <n v="18"/>
    <n v="51"/>
    <n v="79"/>
    <s v="Medium"/>
    <x v="159"/>
    <x v="0"/>
  </r>
  <r>
    <x v="198"/>
    <x v="198"/>
    <x v="1"/>
    <n v="55"/>
    <s v="Hyderabad"/>
    <x v="1"/>
    <s v="Business Development Executive"/>
    <s v="Masters"/>
    <n v="34"/>
    <n v="111516"/>
    <n v="72.599999999999994"/>
    <n v="13"/>
    <n v="14"/>
    <n v="48"/>
    <s v="High"/>
    <x v="160"/>
    <x v="1"/>
  </r>
  <r>
    <x v="199"/>
    <x v="199"/>
    <x v="1"/>
    <n v="27"/>
    <s v="Mumbai"/>
    <x v="4"/>
    <s v="Auditor"/>
    <s v="Diploma"/>
    <n v="0"/>
    <n v="145711"/>
    <n v="96.12"/>
    <n v="12"/>
    <n v="36"/>
    <n v="26"/>
    <s v="High"/>
    <x v="161"/>
    <x v="0"/>
  </r>
  <r>
    <x v="200"/>
    <x v="200"/>
    <x v="1"/>
    <n v="33"/>
    <s v="Chennai"/>
    <x v="0"/>
    <s v="Recruiter"/>
    <s v="Masters"/>
    <n v="5"/>
    <n v="42033"/>
    <n v="70.88"/>
    <n v="2"/>
    <n v="52"/>
    <n v="42"/>
    <s v="High"/>
    <x v="162"/>
    <x v="0"/>
  </r>
  <r>
    <x v="201"/>
    <x v="201"/>
    <x v="0"/>
    <n v="51"/>
    <s v="Delhi"/>
    <x v="0"/>
    <s v="Recruiter"/>
    <s v="MBA"/>
    <n v="20"/>
    <n v="92607"/>
    <n v="96.71"/>
    <n v="7"/>
    <n v="0"/>
    <n v="42"/>
    <s v="Medium"/>
    <x v="163"/>
    <x v="1"/>
  </r>
  <r>
    <x v="202"/>
    <x v="202"/>
    <x v="1"/>
    <n v="42"/>
    <s v="Mumbai"/>
    <x v="0"/>
    <s v="HR Executive"/>
    <s v="Masters"/>
    <n v="13"/>
    <n v="62791"/>
    <n v="95.43"/>
    <n v="17"/>
    <n v="30"/>
    <n v="95"/>
    <s v="High"/>
    <x v="56"/>
    <x v="1"/>
  </r>
  <r>
    <x v="203"/>
    <x v="203"/>
    <x v="0"/>
    <n v="47"/>
    <s v="Bangalore"/>
    <x v="2"/>
    <s v="Software Engineer"/>
    <s v="MBA"/>
    <n v="7"/>
    <n v="112912"/>
    <n v="69.09"/>
    <n v="2"/>
    <n v="32"/>
    <n v="104"/>
    <s v="Medium"/>
    <x v="164"/>
    <x v="0"/>
  </r>
  <r>
    <x v="204"/>
    <x v="204"/>
    <x v="0"/>
    <n v="28"/>
    <s v="Delhi"/>
    <x v="1"/>
    <s v="Sales Executive"/>
    <s v="Diploma"/>
    <n v="5"/>
    <n v="110601"/>
    <n v="81.84"/>
    <n v="2"/>
    <n v="0"/>
    <n v="37"/>
    <s v="Medium"/>
    <x v="165"/>
    <x v="0"/>
  </r>
  <r>
    <x v="205"/>
    <x v="205"/>
    <x v="0"/>
    <n v="46"/>
    <s v="Bangalore"/>
    <x v="1"/>
    <s v="Business Development Executive"/>
    <s v="Bachelors"/>
    <n v="20"/>
    <n v="121067"/>
    <n v="73.64"/>
    <n v="17"/>
    <n v="49"/>
    <n v="82"/>
    <s v="Low"/>
    <x v="166"/>
    <x v="0"/>
  </r>
  <r>
    <x v="206"/>
    <x v="206"/>
    <x v="1"/>
    <n v="29"/>
    <s v="Chennai"/>
    <x v="1"/>
    <s v="Sales Manager"/>
    <s v="Bachelors"/>
    <n v="7"/>
    <n v="33820"/>
    <n v="90.84"/>
    <n v="3"/>
    <n v="40"/>
    <n v="24"/>
    <s v="High"/>
    <x v="22"/>
    <x v="0"/>
  </r>
  <r>
    <x v="207"/>
    <x v="207"/>
    <x v="0"/>
    <n v="51"/>
    <s v="Hyderabad"/>
    <x v="5"/>
    <s v="Marketing Executive"/>
    <s v="MBA"/>
    <n v="9"/>
    <n v="112521"/>
    <n v="96.7"/>
    <n v="10"/>
    <n v="9"/>
    <n v="42"/>
    <s v="High"/>
    <x v="167"/>
    <x v="0"/>
  </r>
  <r>
    <x v="208"/>
    <x v="208"/>
    <x v="1"/>
    <n v="48"/>
    <s v="Chennai"/>
    <x v="3"/>
    <s v="Operations Executive"/>
    <s v="Diploma"/>
    <n v="5"/>
    <n v="109884"/>
    <n v="98.9"/>
    <n v="17"/>
    <n v="50"/>
    <n v="21"/>
    <s v="Low"/>
    <x v="168"/>
    <x v="0"/>
  </r>
  <r>
    <x v="209"/>
    <x v="209"/>
    <x v="1"/>
    <n v="23"/>
    <s v="Chennai"/>
    <x v="5"/>
    <s v="Content Strategist"/>
    <s v="Bachelors"/>
    <n v="0"/>
    <n v="79183"/>
    <n v="98.09"/>
    <n v="10"/>
    <n v="59"/>
    <n v="34"/>
    <s v="Medium"/>
    <x v="169"/>
    <x v="0"/>
  </r>
  <r>
    <x v="210"/>
    <x v="210"/>
    <x v="1"/>
    <n v="49"/>
    <s v="Pune"/>
    <x v="4"/>
    <s v="Auditor"/>
    <s v="Masters"/>
    <n v="26"/>
    <n v="87810"/>
    <n v="71.13"/>
    <n v="2"/>
    <n v="49"/>
    <n v="71"/>
    <s v="Low"/>
    <x v="170"/>
    <x v="0"/>
  </r>
  <r>
    <x v="211"/>
    <x v="211"/>
    <x v="0"/>
    <n v="34"/>
    <s v="Pune"/>
    <x v="4"/>
    <s v="Auditor"/>
    <s v="Masters"/>
    <n v="9"/>
    <n v="70287"/>
    <n v="82.72"/>
    <n v="18"/>
    <n v="35"/>
    <n v="26"/>
    <s v="Low"/>
    <x v="171"/>
    <x v="0"/>
  </r>
  <r>
    <x v="212"/>
    <x v="212"/>
    <x v="0"/>
    <n v="23"/>
    <s v="Delhi"/>
    <x v="3"/>
    <s v="Operations Executive"/>
    <s v="Masters"/>
    <n v="2"/>
    <n v="65886"/>
    <n v="96.67"/>
    <n v="2"/>
    <n v="35"/>
    <n v="86"/>
    <s v="High"/>
    <x v="172"/>
    <x v="0"/>
  </r>
  <r>
    <x v="213"/>
    <x v="213"/>
    <x v="1"/>
    <n v="38"/>
    <s v="Chennai"/>
    <x v="1"/>
    <s v="Business Development Executive"/>
    <s v="Bachelors"/>
    <n v="12"/>
    <n v="88679"/>
    <n v="66.95"/>
    <n v="18"/>
    <n v="21"/>
    <n v="64"/>
    <s v="Low"/>
    <x v="173"/>
    <x v="0"/>
  </r>
  <r>
    <x v="214"/>
    <x v="214"/>
    <x v="0"/>
    <n v="57"/>
    <s v="Bangalore"/>
    <x v="5"/>
    <s v="Content Strategist"/>
    <s v="Diploma"/>
    <n v="15"/>
    <n v="95133"/>
    <n v="77.7"/>
    <n v="13"/>
    <n v="50"/>
    <n v="16"/>
    <s v="Low"/>
    <x v="174"/>
    <x v="0"/>
  </r>
  <r>
    <x v="215"/>
    <x v="215"/>
    <x v="0"/>
    <n v="57"/>
    <s v="Chennai"/>
    <x v="5"/>
    <s v="SEO Analyst"/>
    <s v="MBA"/>
    <n v="0"/>
    <n v="109097"/>
    <n v="84.72"/>
    <n v="18"/>
    <n v="56"/>
    <n v="75"/>
    <s v="Low"/>
    <x v="175"/>
    <x v="0"/>
  </r>
  <r>
    <x v="216"/>
    <x v="216"/>
    <x v="0"/>
    <n v="49"/>
    <s v="Delhi"/>
    <x v="3"/>
    <s v="Operations Executive"/>
    <s v="MBA"/>
    <n v="13"/>
    <n v="77796"/>
    <n v="76.55"/>
    <n v="8"/>
    <n v="16"/>
    <n v="64"/>
    <s v="High"/>
    <x v="176"/>
    <x v="0"/>
  </r>
  <r>
    <x v="217"/>
    <x v="217"/>
    <x v="0"/>
    <n v="52"/>
    <s v="Hyderabad"/>
    <x v="4"/>
    <s v="Auditor"/>
    <s v="Bachelors"/>
    <n v="28"/>
    <n v="63102"/>
    <n v="71.52"/>
    <n v="17"/>
    <n v="47"/>
    <n v="33"/>
    <s v="High"/>
    <x v="96"/>
    <x v="1"/>
  </r>
  <r>
    <x v="218"/>
    <x v="218"/>
    <x v="0"/>
    <n v="51"/>
    <s v="Pune"/>
    <x v="3"/>
    <s v="Operations Executive"/>
    <s v="Masters"/>
    <n v="28"/>
    <n v="35204"/>
    <n v="97.5"/>
    <n v="2"/>
    <n v="22"/>
    <n v="12"/>
    <s v="Low"/>
    <x v="177"/>
    <x v="0"/>
  </r>
  <r>
    <x v="219"/>
    <x v="219"/>
    <x v="0"/>
    <n v="39"/>
    <s v="Pune"/>
    <x v="3"/>
    <s v="Operations Executive"/>
    <s v="Bachelors"/>
    <n v="4"/>
    <n v="48766"/>
    <n v="76.599999999999994"/>
    <n v="16"/>
    <n v="52"/>
    <n v="75"/>
    <s v="Medium"/>
    <x v="178"/>
    <x v="0"/>
  </r>
  <r>
    <x v="220"/>
    <x v="220"/>
    <x v="1"/>
    <n v="30"/>
    <s v="Mumbai"/>
    <x v="0"/>
    <s v="HR Manager"/>
    <s v="MBA"/>
    <n v="8"/>
    <n v="47283"/>
    <n v="71.5"/>
    <n v="18"/>
    <n v="7"/>
    <n v="35"/>
    <s v="Low"/>
    <x v="179"/>
    <x v="0"/>
  </r>
  <r>
    <x v="221"/>
    <x v="221"/>
    <x v="0"/>
    <n v="44"/>
    <s v="Pune"/>
    <x v="3"/>
    <s v="Operations Executive"/>
    <s v="Diploma"/>
    <n v="12"/>
    <n v="99347"/>
    <n v="79.959999999999994"/>
    <n v="19"/>
    <n v="58"/>
    <n v="44"/>
    <s v="Medium"/>
    <x v="39"/>
    <x v="0"/>
  </r>
  <r>
    <x v="222"/>
    <x v="222"/>
    <x v="0"/>
    <n v="53"/>
    <s v="Chennai"/>
    <x v="1"/>
    <s v="Business Development Executive"/>
    <s v="MBA"/>
    <n v="29"/>
    <n v="53290"/>
    <n v="81.84"/>
    <n v="1"/>
    <n v="43"/>
    <n v="35"/>
    <s v="Low"/>
    <x v="179"/>
    <x v="0"/>
  </r>
  <r>
    <x v="223"/>
    <x v="223"/>
    <x v="0"/>
    <n v="46"/>
    <s v="Chennai"/>
    <x v="5"/>
    <s v="Marketing Executive"/>
    <s v="Bachelors"/>
    <n v="21"/>
    <n v="81195"/>
    <n v="88.51"/>
    <n v="20"/>
    <n v="32"/>
    <n v="79"/>
    <s v="High"/>
    <x v="180"/>
    <x v="1"/>
  </r>
  <r>
    <x v="224"/>
    <x v="224"/>
    <x v="0"/>
    <n v="39"/>
    <s v="Chennai"/>
    <x v="1"/>
    <s v="Sales Manager"/>
    <s v="Diploma"/>
    <n v="15"/>
    <n v="124764"/>
    <n v="83.57"/>
    <n v="1"/>
    <n v="24"/>
    <n v="47"/>
    <s v="Medium"/>
    <x v="181"/>
    <x v="0"/>
  </r>
  <r>
    <x v="225"/>
    <x v="225"/>
    <x v="1"/>
    <n v="22"/>
    <s v="Hyderabad"/>
    <x v="3"/>
    <s v="Supervisor"/>
    <s v="Bachelors"/>
    <n v="0"/>
    <n v="62837"/>
    <n v="81.819999999999993"/>
    <n v="7"/>
    <n v="8"/>
    <n v="93"/>
    <s v="Low"/>
    <x v="140"/>
    <x v="0"/>
  </r>
  <r>
    <x v="226"/>
    <x v="226"/>
    <x v="0"/>
    <n v="44"/>
    <s v="Mumbai"/>
    <x v="1"/>
    <s v="Sales Executive"/>
    <s v="Bachelors"/>
    <n v="3"/>
    <n v="43732"/>
    <n v="72.599999999999994"/>
    <n v="5"/>
    <n v="21"/>
    <n v="91"/>
    <s v="Medium"/>
    <x v="182"/>
    <x v="0"/>
  </r>
  <r>
    <x v="227"/>
    <x v="227"/>
    <x v="0"/>
    <n v="44"/>
    <s v="Pune"/>
    <x v="4"/>
    <s v="Auditor"/>
    <s v="MBA"/>
    <n v="13"/>
    <n v="89895"/>
    <n v="72.14"/>
    <n v="17"/>
    <n v="49"/>
    <n v="57"/>
    <s v="Low"/>
    <x v="183"/>
    <x v="0"/>
  </r>
  <r>
    <x v="228"/>
    <x v="228"/>
    <x v="0"/>
    <n v="30"/>
    <s v="Pune"/>
    <x v="3"/>
    <s v="Supervisor"/>
    <s v="Diploma"/>
    <n v="7"/>
    <n v="114961"/>
    <n v="71.11"/>
    <n v="13"/>
    <n v="40"/>
    <n v="98"/>
    <s v="Low"/>
    <x v="184"/>
    <x v="0"/>
  </r>
  <r>
    <x v="229"/>
    <x v="229"/>
    <x v="1"/>
    <n v="32"/>
    <s v="Pune"/>
    <x v="3"/>
    <s v="Coordinator"/>
    <s v="Diploma"/>
    <n v="3"/>
    <n v="110831"/>
    <n v="93.91"/>
    <n v="2"/>
    <n v="36"/>
    <n v="114"/>
    <s v="Medium"/>
    <x v="185"/>
    <x v="0"/>
  </r>
  <r>
    <x v="230"/>
    <x v="230"/>
    <x v="1"/>
    <n v="40"/>
    <s v="Chennai"/>
    <x v="3"/>
    <s v="Coordinator"/>
    <s v="Bachelors"/>
    <n v="11"/>
    <n v="103657"/>
    <n v="74.790000000000006"/>
    <n v="6"/>
    <n v="23"/>
    <n v="97"/>
    <s v="High"/>
    <x v="185"/>
    <x v="0"/>
  </r>
  <r>
    <x v="231"/>
    <x v="231"/>
    <x v="1"/>
    <n v="44"/>
    <s v="Bangalore"/>
    <x v="0"/>
    <s v="Recruiter"/>
    <s v="Diploma"/>
    <n v="20"/>
    <n v="75567"/>
    <n v="92.1"/>
    <n v="6"/>
    <n v="33"/>
    <n v="19"/>
    <s v="Low"/>
    <x v="186"/>
    <x v="0"/>
  </r>
  <r>
    <x v="232"/>
    <x v="232"/>
    <x v="1"/>
    <n v="24"/>
    <s v="Hyderabad"/>
    <x v="3"/>
    <s v="Supervisor"/>
    <s v="Bachelors"/>
    <n v="3"/>
    <n v="101108"/>
    <n v="91.5"/>
    <n v="5"/>
    <n v="38"/>
    <n v="77"/>
    <s v="Low"/>
    <x v="146"/>
    <x v="0"/>
  </r>
  <r>
    <x v="233"/>
    <x v="233"/>
    <x v="1"/>
    <n v="41"/>
    <s v="Pune"/>
    <x v="5"/>
    <s v="SEO Analyst"/>
    <s v="Masters"/>
    <n v="9"/>
    <n v="117105"/>
    <n v="87.36"/>
    <n v="7"/>
    <n v="8"/>
    <n v="59"/>
    <s v="High"/>
    <x v="187"/>
    <x v="0"/>
  </r>
  <r>
    <x v="234"/>
    <x v="234"/>
    <x v="1"/>
    <n v="25"/>
    <s v="Delhi"/>
    <x v="4"/>
    <s v="Financial Analyst"/>
    <s v="MBA"/>
    <n v="4"/>
    <n v="129123"/>
    <n v="89.86"/>
    <n v="16"/>
    <n v="14"/>
    <n v="18"/>
    <s v="Medium"/>
    <x v="188"/>
    <x v="0"/>
  </r>
  <r>
    <x v="235"/>
    <x v="235"/>
    <x v="1"/>
    <n v="50"/>
    <s v="Pune"/>
    <x v="5"/>
    <s v="SEO Analyst"/>
    <s v="Diploma"/>
    <n v="8"/>
    <n v="103155"/>
    <n v="86.03"/>
    <n v="9"/>
    <n v="15"/>
    <n v="32"/>
    <s v="Medium"/>
    <x v="189"/>
    <x v="0"/>
  </r>
  <r>
    <x v="236"/>
    <x v="236"/>
    <x v="0"/>
    <n v="38"/>
    <s v="Delhi"/>
    <x v="1"/>
    <s v="Sales Manager"/>
    <s v="Bachelors"/>
    <n v="1"/>
    <n v="128122"/>
    <n v="72.72"/>
    <n v="15"/>
    <n v="35"/>
    <n v="106"/>
    <s v="Low"/>
    <x v="102"/>
    <x v="0"/>
  </r>
  <r>
    <x v="237"/>
    <x v="237"/>
    <x v="0"/>
    <n v="47"/>
    <s v="Mumbai"/>
    <x v="2"/>
    <s v="DevOps Engineer"/>
    <s v="Bachelors"/>
    <n v="6"/>
    <n v="112178"/>
    <n v="97.58"/>
    <n v="10"/>
    <n v="26"/>
    <n v="60"/>
    <s v="Medium"/>
    <x v="190"/>
    <x v="1"/>
  </r>
  <r>
    <x v="238"/>
    <x v="238"/>
    <x v="1"/>
    <n v="33"/>
    <s v="Chennai"/>
    <x v="3"/>
    <s v="Coordinator"/>
    <s v="MBA"/>
    <n v="10"/>
    <n v="111118"/>
    <n v="68.290000000000006"/>
    <n v="9"/>
    <n v="33"/>
    <n v="103"/>
    <s v="Medium"/>
    <x v="125"/>
    <x v="0"/>
  </r>
  <r>
    <x v="239"/>
    <x v="239"/>
    <x v="1"/>
    <n v="36"/>
    <s v="Chennai"/>
    <x v="1"/>
    <s v="Sales Manager"/>
    <s v="Masters"/>
    <n v="10"/>
    <n v="145731"/>
    <n v="84.88"/>
    <n v="5"/>
    <n v="52"/>
    <n v="73"/>
    <s v="Medium"/>
    <x v="8"/>
    <x v="0"/>
  </r>
  <r>
    <x v="240"/>
    <x v="240"/>
    <x v="1"/>
    <n v="33"/>
    <s v="Delhi"/>
    <x v="4"/>
    <s v="Auditor"/>
    <s v="Bachelors"/>
    <n v="0"/>
    <n v="146290"/>
    <n v="79.75"/>
    <n v="15"/>
    <n v="26"/>
    <n v="81"/>
    <s v="Low"/>
    <x v="24"/>
    <x v="0"/>
  </r>
  <r>
    <x v="241"/>
    <x v="241"/>
    <x v="1"/>
    <n v="47"/>
    <s v="Pune"/>
    <x v="3"/>
    <s v="Coordinator"/>
    <s v="Masters"/>
    <n v="24"/>
    <n v="66312"/>
    <n v="78.53"/>
    <n v="8"/>
    <n v="0"/>
    <n v="115"/>
    <s v="Medium"/>
    <x v="191"/>
    <x v="0"/>
  </r>
  <r>
    <x v="242"/>
    <x v="242"/>
    <x v="0"/>
    <n v="43"/>
    <s v="Pune"/>
    <x v="5"/>
    <s v="Marketing Executive"/>
    <s v="MBA"/>
    <n v="4"/>
    <n v="134471"/>
    <n v="84.87"/>
    <n v="15"/>
    <n v="60"/>
    <n v="17"/>
    <s v="Medium"/>
    <x v="192"/>
    <x v="0"/>
  </r>
  <r>
    <x v="243"/>
    <x v="243"/>
    <x v="0"/>
    <n v="40"/>
    <s v="Mumbai"/>
    <x v="1"/>
    <s v="Business Development Executive"/>
    <s v="Diploma"/>
    <n v="18"/>
    <n v="90137"/>
    <n v="94.2"/>
    <n v="19"/>
    <n v="42"/>
    <n v="54"/>
    <s v="High"/>
    <x v="193"/>
    <x v="1"/>
  </r>
  <r>
    <x v="244"/>
    <x v="244"/>
    <x v="0"/>
    <n v="57"/>
    <s v="Hyderabad"/>
    <x v="2"/>
    <s v="DevOps Engineer"/>
    <s v="MBA"/>
    <n v="30"/>
    <n v="130542"/>
    <n v="70.95"/>
    <n v="4"/>
    <n v="0"/>
    <n v="49"/>
    <s v="Medium"/>
    <x v="82"/>
    <x v="0"/>
  </r>
  <r>
    <x v="245"/>
    <x v="245"/>
    <x v="0"/>
    <n v="55"/>
    <s v="Hyderabad"/>
    <x v="5"/>
    <s v="Content Strategist"/>
    <s v="Bachelors"/>
    <n v="28"/>
    <n v="60127"/>
    <n v="97.85"/>
    <n v="3"/>
    <n v="47"/>
    <n v="106"/>
    <s v="Medium"/>
    <x v="194"/>
    <x v="1"/>
  </r>
  <r>
    <x v="246"/>
    <x v="246"/>
    <x v="1"/>
    <n v="54"/>
    <s v="Chennai"/>
    <x v="0"/>
    <s v="Recruiter"/>
    <s v="Bachelors"/>
    <n v="26"/>
    <n v="42002"/>
    <n v="76.69"/>
    <n v="11"/>
    <n v="27"/>
    <n v="110"/>
    <s v="High"/>
    <x v="46"/>
    <x v="0"/>
  </r>
  <r>
    <x v="247"/>
    <x v="247"/>
    <x v="0"/>
    <n v="30"/>
    <s v="Hyderabad"/>
    <x v="0"/>
    <s v="Recruiter"/>
    <s v="Diploma"/>
    <n v="1"/>
    <n v="82813"/>
    <n v="77.599999999999994"/>
    <n v="17"/>
    <n v="16"/>
    <n v="66"/>
    <s v="Medium"/>
    <x v="195"/>
    <x v="0"/>
  </r>
  <r>
    <x v="248"/>
    <x v="248"/>
    <x v="1"/>
    <n v="37"/>
    <s v="Delhi"/>
    <x v="4"/>
    <s v="Accountant"/>
    <s v="Masters"/>
    <n v="16"/>
    <n v="86027"/>
    <n v="75.14"/>
    <n v="3"/>
    <n v="25"/>
    <n v="37"/>
    <s v="Medium"/>
    <x v="196"/>
    <x v="0"/>
  </r>
  <r>
    <x v="249"/>
    <x v="249"/>
    <x v="1"/>
    <n v="42"/>
    <s v="Hyderabad"/>
    <x v="5"/>
    <s v="Marketing Executive"/>
    <s v="MBA"/>
    <n v="1"/>
    <n v="93411"/>
    <n v="73.36"/>
    <n v="6"/>
    <n v="15"/>
    <n v="23"/>
    <s v="Low"/>
    <x v="197"/>
    <x v="0"/>
  </r>
  <r>
    <x v="250"/>
    <x v="250"/>
    <x v="1"/>
    <n v="48"/>
    <s v="Chennai"/>
    <x v="5"/>
    <s v="Content Strategist"/>
    <s v="Bachelors"/>
    <n v="22"/>
    <n v="128393"/>
    <n v="90.4"/>
    <n v="10"/>
    <n v="25"/>
    <n v="47"/>
    <s v="High"/>
    <x v="68"/>
    <x v="0"/>
  </r>
  <r>
    <x v="251"/>
    <x v="251"/>
    <x v="0"/>
    <n v="34"/>
    <s v="Bangalore"/>
    <x v="3"/>
    <s v="Coordinator"/>
    <s v="MBA"/>
    <n v="2"/>
    <n v="60609"/>
    <n v="75.14"/>
    <n v="1"/>
    <n v="31"/>
    <n v="61"/>
    <s v="Medium"/>
    <x v="198"/>
    <x v="0"/>
  </r>
  <r>
    <x v="252"/>
    <x v="252"/>
    <x v="1"/>
    <n v="23"/>
    <s v="Delhi"/>
    <x v="4"/>
    <s v="Financial Analyst"/>
    <s v="Diploma"/>
    <n v="1"/>
    <n v="101908"/>
    <n v="85.31"/>
    <n v="15"/>
    <n v="44"/>
    <n v="68"/>
    <s v="Low"/>
    <x v="199"/>
    <x v="0"/>
  </r>
  <r>
    <x v="253"/>
    <x v="253"/>
    <x v="0"/>
    <n v="30"/>
    <s v="Chennai"/>
    <x v="0"/>
    <s v="Recruiter"/>
    <s v="Bachelors"/>
    <n v="5"/>
    <n v="60580"/>
    <n v="79.17"/>
    <n v="11"/>
    <n v="37"/>
    <n v="73"/>
    <s v="Low"/>
    <x v="9"/>
    <x v="0"/>
  </r>
  <r>
    <x v="254"/>
    <x v="254"/>
    <x v="1"/>
    <n v="50"/>
    <s v="Pune"/>
    <x v="4"/>
    <s v="Financial Analyst"/>
    <s v="Masters"/>
    <n v="1"/>
    <n v="134005"/>
    <n v="96.47"/>
    <n v="19"/>
    <n v="54"/>
    <n v="92"/>
    <s v="High"/>
    <x v="200"/>
    <x v="0"/>
  </r>
  <r>
    <x v="255"/>
    <x v="255"/>
    <x v="1"/>
    <n v="43"/>
    <s v="Chennai"/>
    <x v="3"/>
    <s v="Supervisor"/>
    <s v="Diploma"/>
    <n v="16"/>
    <n v="46061"/>
    <n v="69.83"/>
    <n v="4"/>
    <n v="47"/>
    <n v="77"/>
    <s v="Low"/>
    <x v="134"/>
    <x v="0"/>
  </r>
  <r>
    <x v="256"/>
    <x v="256"/>
    <x v="1"/>
    <n v="35"/>
    <s v="Bangalore"/>
    <x v="3"/>
    <s v="Supervisor"/>
    <s v="MBA"/>
    <n v="0"/>
    <n v="99159"/>
    <n v="94.65"/>
    <n v="8"/>
    <n v="22"/>
    <n v="13"/>
    <s v="Medium"/>
    <x v="146"/>
    <x v="0"/>
  </r>
  <r>
    <x v="257"/>
    <x v="257"/>
    <x v="1"/>
    <n v="29"/>
    <s v="Bangalore"/>
    <x v="3"/>
    <s v="Coordinator"/>
    <s v="Diploma"/>
    <n v="4"/>
    <n v="66661"/>
    <n v="73.650000000000006"/>
    <n v="8"/>
    <n v="56"/>
    <n v="16"/>
    <s v="Medium"/>
    <x v="201"/>
    <x v="0"/>
  </r>
  <r>
    <x v="258"/>
    <x v="258"/>
    <x v="0"/>
    <n v="28"/>
    <s v="Mumbai"/>
    <x v="4"/>
    <s v="Auditor"/>
    <s v="Diploma"/>
    <n v="4"/>
    <n v="118529"/>
    <n v="97.98"/>
    <n v="14"/>
    <n v="7"/>
    <n v="63"/>
    <s v="Medium"/>
    <x v="202"/>
    <x v="1"/>
  </r>
  <r>
    <x v="259"/>
    <x v="259"/>
    <x v="1"/>
    <n v="25"/>
    <s v="Chennai"/>
    <x v="1"/>
    <s v="Sales Manager"/>
    <s v="Diploma"/>
    <n v="2"/>
    <n v="117896"/>
    <n v="85"/>
    <n v="12"/>
    <n v="1"/>
    <n v="45"/>
    <s v="Medium"/>
    <x v="183"/>
    <x v="0"/>
  </r>
  <r>
    <x v="260"/>
    <x v="260"/>
    <x v="0"/>
    <n v="26"/>
    <s v="Mumbai"/>
    <x v="3"/>
    <s v="Supervisor"/>
    <s v="Diploma"/>
    <n v="1"/>
    <n v="77375"/>
    <n v="85.57"/>
    <n v="6"/>
    <n v="33"/>
    <n v="74"/>
    <s v="Medium"/>
    <x v="203"/>
    <x v="0"/>
  </r>
  <r>
    <x v="261"/>
    <x v="261"/>
    <x v="1"/>
    <n v="52"/>
    <s v="Pune"/>
    <x v="3"/>
    <s v="Supervisor"/>
    <s v="Diploma"/>
    <n v="28"/>
    <n v="67277"/>
    <n v="77.099999999999994"/>
    <n v="1"/>
    <n v="20"/>
    <n v="25"/>
    <s v="Low"/>
    <x v="204"/>
    <x v="0"/>
  </r>
  <r>
    <x v="262"/>
    <x v="262"/>
    <x v="1"/>
    <n v="46"/>
    <s v="Bangalore"/>
    <x v="1"/>
    <s v="Business Development Executive"/>
    <s v="Masters"/>
    <n v="1"/>
    <n v="141322"/>
    <n v="72.38"/>
    <n v="5"/>
    <n v="51"/>
    <n v="31"/>
    <s v="High"/>
    <x v="205"/>
    <x v="0"/>
  </r>
  <r>
    <x v="263"/>
    <x v="263"/>
    <x v="1"/>
    <n v="52"/>
    <s v="Mumbai"/>
    <x v="3"/>
    <s v="Supervisor"/>
    <s v="Diploma"/>
    <n v="31"/>
    <n v="85717"/>
    <n v="97.63"/>
    <n v="20"/>
    <n v="58"/>
    <n v="47"/>
    <s v="Medium"/>
    <x v="56"/>
    <x v="1"/>
  </r>
  <r>
    <x v="264"/>
    <x v="264"/>
    <x v="1"/>
    <n v="25"/>
    <s v="Hyderabad"/>
    <x v="5"/>
    <s v="Content Strategist"/>
    <s v="Bachelors"/>
    <n v="0"/>
    <n v="86196"/>
    <n v="68.83"/>
    <n v="10"/>
    <n v="26"/>
    <n v="102"/>
    <s v="Low"/>
    <x v="106"/>
    <x v="0"/>
  </r>
  <r>
    <x v="265"/>
    <x v="265"/>
    <x v="1"/>
    <n v="34"/>
    <s v="Chennai"/>
    <x v="3"/>
    <s v="Operations Executive"/>
    <s v="MBA"/>
    <n v="6"/>
    <n v="67158"/>
    <n v="86.46"/>
    <n v="13"/>
    <n v="59"/>
    <n v="26"/>
    <s v="Low"/>
    <x v="188"/>
    <x v="0"/>
  </r>
  <r>
    <x v="266"/>
    <x v="266"/>
    <x v="1"/>
    <n v="32"/>
    <s v="Bangalore"/>
    <x v="0"/>
    <s v="HR Manager"/>
    <s v="MBA"/>
    <n v="2"/>
    <n v="86354"/>
    <n v="85.07"/>
    <n v="4"/>
    <n v="42"/>
    <n v="5"/>
    <s v="Low"/>
    <x v="206"/>
    <x v="0"/>
  </r>
  <r>
    <x v="267"/>
    <x v="267"/>
    <x v="0"/>
    <n v="47"/>
    <s v="Delhi"/>
    <x v="4"/>
    <s v="Accountant"/>
    <s v="Diploma"/>
    <n v="24"/>
    <n v="120540"/>
    <n v="90.86"/>
    <n v="14"/>
    <n v="57"/>
    <n v="76"/>
    <s v="Medium"/>
    <x v="207"/>
    <x v="1"/>
  </r>
  <r>
    <x v="268"/>
    <x v="268"/>
    <x v="0"/>
    <n v="33"/>
    <s v="Pune"/>
    <x v="3"/>
    <s v="Operations Executive"/>
    <s v="MBA"/>
    <n v="10"/>
    <n v="66240"/>
    <n v="97.74"/>
    <n v="19"/>
    <n v="48"/>
    <n v="63"/>
    <s v="Low"/>
    <x v="208"/>
    <x v="1"/>
  </r>
  <r>
    <x v="269"/>
    <x v="269"/>
    <x v="0"/>
    <n v="33"/>
    <s v="Delhi"/>
    <x v="1"/>
    <s v="Sales Manager"/>
    <s v="Diploma"/>
    <n v="2"/>
    <n v="39980"/>
    <n v="91.86"/>
    <n v="17"/>
    <n v="14"/>
    <n v="47"/>
    <s v="Low"/>
    <x v="157"/>
    <x v="0"/>
  </r>
  <r>
    <x v="270"/>
    <x v="270"/>
    <x v="0"/>
    <n v="29"/>
    <s v="Delhi"/>
    <x v="3"/>
    <s v="Operations Executive"/>
    <s v="Masters"/>
    <n v="2"/>
    <n v="95284"/>
    <n v="83.48"/>
    <n v="2"/>
    <n v="37"/>
    <n v="54"/>
    <s v="Medium"/>
    <x v="209"/>
    <x v="0"/>
  </r>
  <r>
    <x v="271"/>
    <x v="271"/>
    <x v="0"/>
    <n v="29"/>
    <s v="Hyderabad"/>
    <x v="3"/>
    <s v="Coordinator"/>
    <s v="Masters"/>
    <n v="4"/>
    <n v="117056"/>
    <n v="87.93"/>
    <n v="17"/>
    <n v="28"/>
    <n v="27"/>
    <s v="Low"/>
    <x v="210"/>
    <x v="0"/>
  </r>
  <r>
    <x v="272"/>
    <x v="272"/>
    <x v="1"/>
    <n v="27"/>
    <s v="Pune"/>
    <x v="4"/>
    <s v="Accountant"/>
    <s v="Diploma"/>
    <n v="5"/>
    <n v="140522"/>
    <n v="66.97"/>
    <n v="19"/>
    <n v="22"/>
    <n v="104"/>
    <s v="High"/>
    <x v="69"/>
    <x v="1"/>
  </r>
  <r>
    <x v="273"/>
    <x v="273"/>
    <x v="1"/>
    <n v="54"/>
    <s v="Bangalore"/>
    <x v="4"/>
    <s v="Accountant"/>
    <s v="Diploma"/>
    <n v="16"/>
    <n v="153808"/>
    <n v="76.430000000000007"/>
    <n v="3"/>
    <n v="47"/>
    <n v="104"/>
    <s v="Low"/>
    <x v="185"/>
    <x v="0"/>
  </r>
  <r>
    <x v="274"/>
    <x v="274"/>
    <x v="0"/>
    <n v="42"/>
    <s v="Hyderabad"/>
    <x v="4"/>
    <s v="Financial Analyst"/>
    <s v="MBA"/>
    <n v="3"/>
    <n v="71345"/>
    <n v="95.36"/>
    <n v="12"/>
    <n v="40"/>
    <n v="23"/>
    <s v="High"/>
    <x v="211"/>
    <x v="0"/>
  </r>
  <r>
    <x v="275"/>
    <x v="275"/>
    <x v="0"/>
    <n v="28"/>
    <s v="Bangalore"/>
    <x v="0"/>
    <s v="Recruiter"/>
    <s v="Diploma"/>
    <n v="2"/>
    <n v="75358"/>
    <n v="82.17"/>
    <n v="2"/>
    <n v="5"/>
    <n v="109"/>
    <s v="Low"/>
    <x v="212"/>
    <x v="0"/>
  </r>
  <r>
    <x v="276"/>
    <x v="276"/>
    <x v="0"/>
    <n v="42"/>
    <s v="Delhi"/>
    <x v="3"/>
    <s v="Coordinator"/>
    <s v="Masters"/>
    <n v="19"/>
    <n v="51392"/>
    <n v="94.76"/>
    <n v="10"/>
    <n v="57"/>
    <n v="81"/>
    <s v="Medium"/>
    <x v="213"/>
    <x v="1"/>
  </r>
  <r>
    <x v="277"/>
    <x v="277"/>
    <x v="1"/>
    <n v="28"/>
    <s v="Mumbai"/>
    <x v="2"/>
    <s v="Software Engineer"/>
    <s v="MBA"/>
    <n v="7"/>
    <n v="60441"/>
    <n v="84.53"/>
    <n v="7"/>
    <n v="4"/>
    <n v="99"/>
    <s v="Low"/>
    <x v="169"/>
    <x v="0"/>
  </r>
  <r>
    <x v="278"/>
    <x v="278"/>
    <x v="1"/>
    <n v="45"/>
    <s v="Hyderabad"/>
    <x v="4"/>
    <s v="Accountant"/>
    <s v="MBA"/>
    <n v="12"/>
    <n v="67179"/>
    <n v="73.400000000000006"/>
    <n v="19"/>
    <n v="60"/>
    <n v="108"/>
    <s v="Medium"/>
    <x v="214"/>
    <x v="1"/>
  </r>
  <r>
    <x v="279"/>
    <x v="279"/>
    <x v="1"/>
    <n v="32"/>
    <s v="Pune"/>
    <x v="4"/>
    <s v="Auditor"/>
    <s v="Diploma"/>
    <n v="11"/>
    <n v="138176"/>
    <n v="91.66"/>
    <n v="6"/>
    <n v="29"/>
    <n v="38"/>
    <s v="Medium"/>
    <x v="149"/>
    <x v="0"/>
  </r>
  <r>
    <x v="280"/>
    <x v="280"/>
    <x v="0"/>
    <n v="46"/>
    <s v="Bangalore"/>
    <x v="2"/>
    <s v="Software Engineer"/>
    <s v="Masters"/>
    <n v="16"/>
    <n v="134275"/>
    <n v="72.83"/>
    <n v="9"/>
    <n v="24"/>
    <n v="47"/>
    <s v="Medium"/>
    <x v="167"/>
    <x v="0"/>
  </r>
  <r>
    <x v="281"/>
    <x v="281"/>
    <x v="1"/>
    <n v="31"/>
    <s v="Bangalore"/>
    <x v="4"/>
    <s v="Financial Analyst"/>
    <s v="MBA"/>
    <n v="1"/>
    <n v="159584"/>
    <n v="89.66"/>
    <n v="19"/>
    <n v="46"/>
    <n v="18"/>
    <s v="High"/>
    <x v="40"/>
    <x v="0"/>
  </r>
  <r>
    <x v="282"/>
    <x v="282"/>
    <x v="0"/>
    <n v="51"/>
    <s v="Hyderabad"/>
    <x v="0"/>
    <s v="Recruiter"/>
    <s v="Diploma"/>
    <n v="6"/>
    <n v="53919"/>
    <n v="85.05"/>
    <n v="3"/>
    <n v="36"/>
    <n v="112"/>
    <s v="Medium"/>
    <x v="80"/>
    <x v="0"/>
  </r>
  <r>
    <x v="283"/>
    <x v="283"/>
    <x v="1"/>
    <n v="48"/>
    <s v="Delhi"/>
    <x v="5"/>
    <s v="SEO Analyst"/>
    <s v="Diploma"/>
    <n v="19"/>
    <n v="50006"/>
    <n v="66.489999999999995"/>
    <n v="20"/>
    <n v="29"/>
    <n v="119"/>
    <s v="Medium"/>
    <x v="215"/>
    <x v="1"/>
  </r>
  <r>
    <x v="284"/>
    <x v="284"/>
    <x v="0"/>
    <n v="25"/>
    <s v="Bangalore"/>
    <x v="1"/>
    <s v="Business Development Executive"/>
    <s v="Masters"/>
    <n v="4"/>
    <n v="84545"/>
    <n v="78.59"/>
    <n v="1"/>
    <n v="43"/>
    <n v="112"/>
    <s v="Medium"/>
    <x v="136"/>
    <x v="0"/>
  </r>
  <r>
    <x v="285"/>
    <x v="285"/>
    <x v="1"/>
    <n v="58"/>
    <s v="Delhi"/>
    <x v="2"/>
    <s v="Data Analyst"/>
    <s v="Diploma"/>
    <n v="37"/>
    <n v="137372"/>
    <n v="85.61"/>
    <n v="16"/>
    <n v="59"/>
    <n v="67"/>
    <s v="Low"/>
    <x v="216"/>
    <x v="1"/>
  </r>
  <r>
    <x v="286"/>
    <x v="286"/>
    <x v="0"/>
    <n v="46"/>
    <s v="Bangalore"/>
    <x v="1"/>
    <s v="Sales Executive"/>
    <s v="Diploma"/>
    <n v="6"/>
    <n v="91807"/>
    <n v="96.49"/>
    <n v="11"/>
    <n v="43"/>
    <n v="47"/>
    <s v="Medium"/>
    <x v="134"/>
    <x v="0"/>
  </r>
  <r>
    <x v="287"/>
    <x v="287"/>
    <x v="0"/>
    <n v="40"/>
    <s v="Bangalore"/>
    <x v="3"/>
    <s v="Coordinator"/>
    <s v="MBA"/>
    <n v="2"/>
    <n v="92106"/>
    <n v="77.66"/>
    <n v="13"/>
    <n v="6"/>
    <n v="35"/>
    <s v="Medium"/>
    <x v="217"/>
    <x v="0"/>
  </r>
  <r>
    <x v="288"/>
    <x v="288"/>
    <x v="1"/>
    <n v="24"/>
    <s v="Pune"/>
    <x v="2"/>
    <s v="DevOps Engineer"/>
    <s v="Masters"/>
    <n v="0"/>
    <n v="99808"/>
    <n v="77.959999999999994"/>
    <n v="8"/>
    <n v="40"/>
    <n v="35"/>
    <s v="High"/>
    <x v="218"/>
    <x v="0"/>
  </r>
  <r>
    <x v="289"/>
    <x v="289"/>
    <x v="0"/>
    <n v="51"/>
    <s v="Chennai"/>
    <x v="1"/>
    <s v="Business Development Executive"/>
    <s v="Masters"/>
    <n v="20"/>
    <n v="102656"/>
    <n v="95.27"/>
    <n v="17"/>
    <n v="54"/>
    <n v="39"/>
    <s v="High"/>
    <x v="160"/>
    <x v="1"/>
  </r>
  <r>
    <x v="290"/>
    <x v="290"/>
    <x v="1"/>
    <n v="28"/>
    <s v="Bangalore"/>
    <x v="0"/>
    <s v="Recruiter"/>
    <s v="Masters"/>
    <n v="3"/>
    <n v="82666"/>
    <n v="85.06"/>
    <n v="4"/>
    <n v="34"/>
    <n v="72"/>
    <s v="Medium"/>
    <x v="182"/>
    <x v="0"/>
  </r>
  <r>
    <x v="291"/>
    <x v="291"/>
    <x v="0"/>
    <n v="45"/>
    <s v="Mumbai"/>
    <x v="2"/>
    <s v="Data Analyst"/>
    <s v="MBA"/>
    <n v="6"/>
    <n v="121663"/>
    <n v="71.209999999999994"/>
    <n v="20"/>
    <n v="59"/>
    <n v="118"/>
    <s v="Medium"/>
    <x v="202"/>
    <x v="1"/>
  </r>
  <r>
    <x v="292"/>
    <x v="292"/>
    <x v="0"/>
    <n v="31"/>
    <s v="Mumbai"/>
    <x v="3"/>
    <s v="Supervisor"/>
    <s v="Bachelors"/>
    <n v="3"/>
    <n v="41148"/>
    <n v="97.46"/>
    <n v="20"/>
    <n v="19"/>
    <n v="16"/>
    <s v="High"/>
    <x v="122"/>
    <x v="1"/>
  </r>
  <r>
    <x v="293"/>
    <x v="293"/>
    <x v="0"/>
    <n v="44"/>
    <s v="Pune"/>
    <x v="5"/>
    <s v="Marketing Executive"/>
    <s v="Diploma"/>
    <n v="21"/>
    <n v="86694"/>
    <n v="98.39"/>
    <n v="12"/>
    <n v="13"/>
    <n v="112"/>
    <s v="Medium"/>
    <x v="219"/>
    <x v="1"/>
  </r>
  <r>
    <x v="294"/>
    <x v="294"/>
    <x v="1"/>
    <n v="31"/>
    <s v="Mumbai"/>
    <x v="1"/>
    <s v="Sales Executive"/>
    <s v="MBA"/>
    <n v="3"/>
    <n v="55255"/>
    <n v="66.41"/>
    <n v="8"/>
    <n v="2"/>
    <n v="93"/>
    <s v="High"/>
    <x v="211"/>
    <x v="0"/>
  </r>
  <r>
    <x v="295"/>
    <x v="295"/>
    <x v="0"/>
    <n v="25"/>
    <s v="Chennai"/>
    <x v="1"/>
    <s v="Business Development Executive"/>
    <s v="MBA"/>
    <n v="4"/>
    <n v="89613"/>
    <n v="70.34"/>
    <n v="18"/>
    <n v="13"/>
    <n v="57"/>
    <s v="Low"/>
    <x v="220"/>
    <x v="0"/>
  </r>
  <r>
    <x v="296"/>
    <x v="296"/>
    <x v="0"/>
    <n v="57"/>
    <s v="Bangalore"/>
    <x v="4"/>
    <s v="Auditor"/>
    <s v="Bachelors"/>
    <n v="33"/>
    <n v="67972"/>
    <n v="93.84"/>
    <n v="5"/>
    <n v="51"/>
    <n v="43"/>
    <s v="High"/>
    <x v="46"/>
    <x v="0"/>
  </r>
  <r>
    <x v="297"/>
    <x v="297"/>
    <x v="0"/>
    <n v="54"/>
    <s v="Mumbai"/>
    <x v="1"/>
    <s v="Sales Executive"/>
    <s v="Bachelors"/>
    <n v="19"/>
    <n v="37711"/>
    <n v="84.55"/>
    <n v="18"/>
    <n v="59"/>
    <n v="10"/>
    <s v="Low"/>
    <x v="0"/>
    <x v="0"/>
  </r>
  <r>
    <x v="298"/>
    <x v="298"/>
    <x v="0"/>
    <n v="54"/>
    <s v="Chennai"/>
    <x v="5"/>
    <s v="Marketing Executive"/>
    <s v="Bachelors"/>
    <n v="19"/>
    <n v="52978"/>
    <n v="65.150000000000006"/>
    <n v="3"/>
    <n v="11"/>
    <n v="93"/>
    <s v="Medium"/>
    <x v="108"/>
    <x v="0"/>
  </r>
  <r>
    <x v="299"/>
    <x v="299"/>
    <x v="1"/>
    <n v="47"/>
    <s v="Delhi"/>
    <x v="4"/>
    <s v="Financial Analyst"/>
    <s v="MBA"/>
    <n v="22"/>
    <n v="153962"/>
    <n v="68.16"/>
    <n v="5"/>
    <n v="25"/>
    <n v="81"/>
    <s v="Low"/>
    <x v="147"/>
    <x v="0"/>
  </r>
  <r>
    <x v="300"/>
    <x v="300"/>
    <x v="1"/>
    <n v="37"/>
    <s v="Mumbai"/>
    <x v="3"/>
    <s v="Coordinator"/>
    <s v="Diploma"/>
    <n v="9"/>
    <n v="98201"/>
    <n v="71.39"/>
    <n v="11"/>
    <n v="30"/>
    <n v="20"/>
    <s v="Low"/>
    <x v="221"/>
    <x v="0"/>
  </r>
  <r>
    <x v="301"/>
    <x v="301"/>
    <x v="1"/>
    <n v="22"/>
    <s v="Chennai"/>
    <x v="1"/>
    <s v="Business Development Executive"/>
    <s v="Masters"/>
    <n v="0"/>
    <n v="59543"/>
    <n v="96.08"/>
    <n v="8"/>
    <n v="16"/>
    <n v="72"/>
    <s v="Medium"/>
    <x v="222"/>
    <x v="0"/>
  </r>
  <r>
    <x v="302"/>
    <x v="302"/>
    <x v="1"/>
    <n v="44"/>
    <s v="Mumbai"/>
    <x v="5"/>
    <s v="Content Strategist"/>
    <s v="Masters"/>
    <n v="10"/>
    <n v="54644"/>
    <n v="94.94"/>
    <n v="10"/>
    <n v="45"/>
    <n v="26"/>
    <s v="Medium"/>
    <x v="223"/>
    <x v="0"/>
  </r>
  <r>
    <x v="303"/>
    <x v="303"/>
    <x v="0"/>
    <n v="54"/>
    <s v="Mumbai"/>
    <x v="4"/>
    <s v="Financial Analyst"/>
    <s v="Masters"/>
    <n v="13"/>
    <n v="77811"/>
    <n v="88"/>
    <n v="12"/>
    <n v="39"/>
    <n v="17"/>
    <s v="Medium"/>
    <x v="224"/>
    <x v="0"/>
  </r>
  <r>
    <x v="304"/>
    <x v="304"/>
    <x v="0"/>
    <n v="35"/>
    <s v="Chennai"/>
    <x v="3"/>
    <s v="Coordinator"/>
    <s v="Masters"/>
    <n v="3"/>
    <n v="85951"/>
    <n v="77.36"/>
    <n v="20"/>
    <n v="5"/>
    <n v="32"/>
    <s v="High"/>
    <x v="51"/>
    <x v="0"/>
  </r>
  <r>
    <x v="305"/>
    <x v="305"/>
    <x v="1"/>
    <n v="39"/>
    <s v="Pune"/>
    <x v="0"/>
    <s v="HR Manager"/>
    <s v="MBA"/>
    <n v="10"/>
    <n v="77842"/>
    <n v="71.53"/>
    <n v="12"/>
    <n v="37"/>
    <n v="46"/>
    <s v="Low"/>
    <x v="225"/>
    <x v="0"/>
  </r>
  <r>
    <x v="306"/>
    <x v="306"/>
    <x v="1"/>
    <n v="27"/>
    <s v="Delhi"/>
    <x v="3"/>
    <s v="Coordinator"/>
    <s v="Masters"/>
    <n v="5"/>
    <n v="107140"/>
    <n v="72.95"/>
    <n v="3"/>
    <n v="4"/>
    <n v="81"/>
    <s v="Medium"/>
    <x v="226"/>
    <x v="0"/>
  </r>
  <r>
    <x v="307"/>
    <x v="307"/>
    <x v="0"/>
    <n v="44"/>
    <s v="Pune"/>
    <x v="3"/>
    <s v="Operations Executive"/>
    <s v="Diploma"/>
    <n v="7"/>
    <n v="111743"/>
    <n v="84.74"/>
    <n v="20"/>
    <n v="35"/>
    <n v="104"/>
    <s v="High"/>
    <x v="56"/>
    <x v="1"/>
  </r>
  <r>
    <x v="308"/>
    <x v="308"/>
    <x v="1"/>
    <n v="53"/>
    <s v="Bangalore"/>
    <x v="3"/>
    <s v="Operations Executive"/>
    <s v="Diploma"/>
    <n v="1"/>
    <n v="118147"/>
    <n v="83.21"/>
    <n v="11"/>
    <n v="20"/>
    <n v="49"/>
    <s v="Low"/>
    <x v="16"/>
    <x v="0"/>
  </r>
  <r>
    <x v="309"/>
    <x v="309"/>
    <x v="1"/>
    <n v="55"/>
    <s v="Delhi"/>
    <x v="5"/>
    <s v="Content Strategist"/>
    <s v="MBA"/>
    <n v="15"/>
    <n v="126024"/>
    <n v="74.09"/>
    <n v="19"/>
    <n v="37"/>
    <n v="56"/>
    <s v="High"/>
    <x v="227"/>
    <x v="1"/>
  </r>
  <r>
    <x v="310"/>
    <x v="310"/>
    <x v="1"/>
    <n v="55"/>
    <s v="Bangalore"/>
    <x v="4"/>
    <s v="Auditor"/>
    <s v="Bachelors"/>
    <n v="24"/>
    <n v="120879"/>
    <n v="90.58"/>
    <n v="5"/>
    <n v="46"/>
    <n v="41"/>
    <s v="Low"/>
    <x v="31"/>
    <x v="0"/>
  </r>
  <r>
    <x v="311"/>
    <x v="311"/>
    <x v="0"/>
    <n v="46"/>
    <s v="Bangalore"/>
    <x v="4"/>
    <s v="Auditor"/>
    <s v="Diploma"/>
    <n v="4"/>
    <n v="133660"/>
    <n v="67.13"/>
    <n v="13"/>
    <n v="16"/>
    <n v="70"/>
    <s v="Medium"/>
    <x v="228"/>
    <x v="0"/>
  </r>
  <r>
    <x v="312"/>
    <x v="312"/>
    <x v="0"/>
    <n v="33"/>
    <s v="Mumbai"/>
    <x v="0"/>
    <s v="HR Executive"/>
    <s v="MBA"/>
    <n v="8"/>
    <n v="83251"/>
    <n v="82.66"/>
    <n v="17"/>
    <n v="10"/>
    <n v="26"/>
    <s v="Low"/>
    <x v="140"/>
    <x v="0"/>
  </r>
  <r>
    <x v="313"/>
    <x v="313"/>
    <x v="0"/>
    <n v="58"/>
    <s v="Mumbai"/>
    <x v="2"/>
    <s v="Data Analyst"/>
    <s v="Masters"/>
    <n v="1"/>
    <n v="103891"/>
    <n v="88.32"/>
    <n v="6"/>
    <n v="13"/>
    <n v="116"/>
    <s v="Medium"/>
    <x v="229"/>
    <x v="0"/>
  </r>
  <r>
    <x v="314"/>
    <x v="314"/>
    <x v="1"/>
    <n v="41"/>
    <s v="Bangalore"/>
    <x v="4"/>
    <s v="Financial Analyst"/>
    <s v="Bachelors"/>
    <n v="1"/>
    <n v="135323"/>
    <n v="94.57"/>
    <n v="5"/>
    <n v="51"/>
    <n v="13"/>
    <s v="Medium"/>
    <x v="230"/>
    <x v="0"/>
  </r>
  <r>
    <x v="315"/>
    <x v="315"/>
    <x v="1"/>
    <n v="58"/>
    <s v="Delhi"/>
    <x v="5"/>
    <s v="SEO Analyst"/>
    <s v="MBA"/>
    <n v="4"/>
    <n v="85606"/>
    <n v="96.94"/>
    <n v="15"/>
    <n v="58"/>
    <n v="58"/>
    <s v="Medium"/>
    <x v="115"/>
    <x v="0"/>
  </r>
  <r>
    <x v="316"/>
    <x v="316"/>
    <x v="1"/>
    <n v="53"/>
    <s v="Mumbai"/>
    <x v="0"/>
    <s v="Recruiter"/>
    <s v="Diploma"/>
    <n v="12"/>
    <n v="76960"/>
    <n v="92.9"/>
    <n v="3"/>
    <n v="8"/>
    <n v="56"/>
    <s v="Medium"/>
    <x v="161"/>
    <x v="0"/>
  </r>
  <r>
    <x v="317"/>
    <x v="317"/>
    <x v="1"/>
    <n v="35"/>
    <s v="Hyderabad"/>
    <x v="5"/>
    <s v="Content Strategist"/>
    <s v="Bachelors"/>
    <n v="1"/>
    <n v="80335"/>
    <n v="96.01"/>
    <n v="13"/>
    <n v="43"/>
    <n v="37"/>
    <s v="Medium"/>
    <x v="27"/>
    <x v="0"/>
  </r>
  <r>
    <x v="318"/>
    <x v="318"/>
    <x v="0"/>
    <n v="55"/>
    <s v="Mumbai"/>
    <x v="5"/>
    <s v="Marketing Executive"/>
    <s v="Bachelors"/>
    <n v="23"/>
    <n v="98263"/>
    <n v="82.81"/>
    <n v="1"/>
    <n v="42"/>
    <n v="24"/>
    <s v="Low"/>
    <x v="231"/>
    <x v="0"/>
  </r>
  <r>
    <x v="319"/>
    <x v="319"/>
    <x v="0"/>
    <n v="45"/>
    <s v="Mumbai"/>
    <x v="1"/>
    <s v="Business Development Executive"/>
    <s v="Bachelors"/>
    <n v="20"/>
    <n v="41716"/>
    <n v="84.95"/>
    <n v="19"/>
    <n v="26"/>
    <n v="102"/>
    <s v="High"/>
    <x v="232"/>
    <x v="1"/>
  </r>
  <r>
    <x v="320"/>
    <x v="320"/>
    <x v="1"/>
    <n v="57"/>
    <s v="Pune"/>
    <x v="5"/>
    <s v="Marketing Executive"/>
    <s v="Diploma"/>
    <n v="9"/>
    <n v="79582"/>
    <n v="73.17"/>
    <n v="18"/>
    <n v="11"/>
    <n v="94"/>
    <s v="Medium"/>
    <x v="233"/>
    <x v="1"/>
  </r>
  <r>
    <x v="321"/>
    <x v="321"/>
    <x v="1"/>
    <n v="52"/>
    <s v="Delhi"/>
    <x v="5"/>
    <s v="Marketing Executive"/>
    <s v="MBA"/>
    <n v="8"/>
    <n v="78574"/>
    <n v="92.13"/>
    <n v="5"/>
    <n v="18"/>
    <n v="76"/>
    <s v="Low"/>
    <x v="234"/>
    <x v="0"/>
  </r>
  <r>
    <x v="322"/>
    <x v="322"/>
    <x v="0"/>
    <n v="56"/>
    <s v="Mumbai"/>
    <x v="5"/>
    <s v="Content Strategist"/>
    <s v="Bachelors"/>
    <n v="17"/>
    <n v="120472"/>
    <n v="96.31"/>
    <n v="4"/>
    <n v="50"/>
    <n v="81"/>
    <s v="Low"/>
    <x v="192"/>
    <x v="0"/>
  </r>
  <r>
    <x v="323"/>
    <x v="323"/>
    <x v="0"/>
    <n v="23"/>
    <s v="Pune"/>
    <x v="3"/>
    <s v="Operations Executive"/>
    <s v="MBA"/>
    <n v="0"/>
    <n v="64239"/>
    <n v="80.16"/>
    <n v="8"/>
    <n v="47"/>
    <n v="51"/>
    <s v="Low"/>
    <x v="22"/>
    <x v="0"/>
  </r>
  <r>
    <x v="324"/>
    <x v="324"/>
    <x v="1"/>
    <n v="29"/>
    <s v="Pune"/>
    <x v="3"/>
    <s v="Supervisor"/>
    <s v="Bachelors"/>
    <n v="0"/>
    <n v="46736"/>
    <n v="86.94"/>
    <n v="10"/>
    <n v="10"/>
    <n v="23"/>
    <s v="Low"/>
    <x v="74"/>
    <x v="0"/>
  </r>
  <r>
    <x v="325"/>
    <x v="325"/>
    <x v="1"/>
    <n v="44"/>
    <s v="Mumbai"/>
    <x v="2"/>
    <s v="Software Engineer"/>
    <s v="Diploma"/>
    <n v="19"/>
    <n v="160804"/>
    <n v="97.5"/>
    <n v="3"/>
    <n v="35"/>
    <n v="56"/>
    <s v="Low"/>
    <x v="235"/>
    <x v="0"/>
  </r>
  <r>
    <x v="326"/>
    <x v="326"/>
    <x v="0"/>
    <n v="35"/>
    <s v="Pune"/>
    <x v="3"/>
    <s v="Operations Executive"/>
    <s v="MBA"/>
    <n v="0"/>
    <n v="52283"/>
    <n v="93.55"/>
    <n v="13"/>
    <n v="21"/>
    <n v="81"/>
    <s v="High"/>
    <x v="236"/>
    <x v="0"/>
  </r>
  <r>
    <x v="327"/>
    <x v="327"/>
    <x v="1"/>
    <n v="58"/>
    <s v="Delhi"/>
    <x v="5"/>
    <s v="Marketing Executive"/>
    <s v="MBA"/>
    <n v="18"/>
    <n v="112234"/>
    <n v="90.8"/>
    <n v="16"/>
    <n v="38"/>
    <n v="104"/>
    <s v="Medium"/>
    <x v="237"/>
    <x v="1"/>
  </r>
  <r>
    <x v="328"/>
    <x v="328"/>
    <x v="0"/>
    <n v="39"/>
    <s v="Mumbai"/>
    <x v="2"/>
    <s v="Data Analyst"/>
    <s v="MBA"/>
    <n v="17"/>
    <n v="76899"/>
    <n v="96.5"/>
    <n v="6"/>
    <n v="52"/>
    <n v="75"/>
    <s v="Medium"/>
    <x v="238"/>
    <x v="1"/>
  </r>
  <r>
    <x v="329"/>
    <x v="329"/>
    <x v="0"/>
    <n v="34"/>
    <s v="Chennai"/>
    <x v="2"/>
    <s v="DevOps Engineer"/>
    <s v="Masters"/>
    <n v="12"/>
    <n v="117614"/>
    <n v="68"/>
    <n v="3"/>
    <n v="21"/>
    <n v="58"/>
    <s v="Low"/>
    <x v="239"/>
    <x v="0"/>
  </r>
  <r>
    <x v="330"/>
    <x v="330"/>
    <x v="1"/>
    <n v="26"/>
    <s v="Mumbai"/>
    <x v="2"/>
    <s v="Software Engineer"/>
    <s v="MBA"/>
    <n v="2"/>
    <n v="85774"/>
    <n v="75.290000000000006"/>
    <n v="8"/>
    <n v="19"/>
    <n v="89"/>
    <s v="High"/>
    <x v="139"/>
    <x v="0"/>
  </r>
  <r>
    <x v="331"/>
    <x v="331"/>
    <x v="1"/>
    <n v="53"/>
    <s v="Mumbai"/>
    <x v="1"/>
    <s v="Sales Executive"/>
    <s v="Diploma"/>
    <n v="25"/>
    <n v="58691"/>
    <n v="86.85"/>
    <n v="14"/>
    <n v="53"/>
    <n v="77"/>
    <s v="Low"/>
    <x v="84"/>
    <x v="1"/>
  </r>
  <r>
    <x v="332"/>
    <x v="332"/>
    <x v="1"/>
    <n v="44"/>
    <s v="Delhi"/>
    <x v="0"/>
    <s v="HR Executive"/>
    <s v="Masters"/>
    <n v="20"/>
    <n v="77941"/>
    <n v="99.84"/>
    <n v="17"/>
    <n v="8"/>
    <n v="77"/>
    <s v="High"/>
    <x v="240"/>
    <x v="1"/>
  </r>
  <r>
    <x v="333"/>
    <x v="333"/>
    <x v="0"/>
    <n v="43"/>
    <s v="Bangalore"/>
    <x v="4"/>
    <s v="Accountant"/>
    <s v="Masters"/>
    <n v="22"/>
    <n v="138883"/>
    <n v="95.52"/>
    <n v="17"/>
    <n v="49"/>
    <n v="30"/>
    <s v="High"/>
    <x v="241"/>
    <x v="1"/>
  </r>
  <r>
    <x v="334"/>
    <x v="334"/>
    <x v="0"/>
    <n v="28"/>
    <s v="Mumbai"/>
    <x v="1"/>
    <s v="Sales Executive"/>
    <s v="Masters"/>
    <n v="4"/>
    <n v="44353"/>
    <n v="83.2"/>
    <n v="6"/>
    <n v="7"/>
    <n v="57"/>
    <s v="Low"/>
    <x v="242"/>
    <x v="0"/>
  </r>
  <r>
    <x v="335"/>
    <x v="335"/>
    <x v="0"/>
    <n v="46"/>
    <s v="Chennai"/>
    <x v="2"/>
    <s v="Data Analyst"/>
    <s v="Diploma"/>
    <n v="12"/>
    <n v="75575"/>
    <n v="66.599999999999994"/>
    <n v="17"/>
    <n v="12"/>
    <n v="18"/>
    <s v="Low"/>
    <x v="161"/>
    <x v="0"/>
  </r>
  <r>
    <x v="336"/>
    <x v="336"/>
    <x v="1"/>
    <n v="54"/>
    <s v="Delhi"/>
    <x v="3"/>
    <s v="Supervisor"/>
    <s v="Masters"/>
    <n v="15"/>
    <n v="116075"/>
    <n v="99.6"/>
    <n v="20"/>
    <n v="25"/>
    <n v="16"/>
    <s v="High"/>
    <x v="216"/>
    <x v="1"/>
  </r>
  <r>
    <x v="337"/>
    <x v="337"/>
    <x v="1"/>
    <n v="57"/>
    <s v="Delhi"/>
    <x v="4"/>
    <s v="Financial Analyst"/>
    <s v="Masters"/>
    <n v="12"/>
    <n v="119974"/>
    <n v="90.37"/>
    <n v="6"/>
    <n v="33"/>
    <n v="32"/>
    <s v="High"/>
    <x v="243"/>
    <x v="0"/>
  </r>
  <r>
    <x v="338"/>
    <x v="338"/>
    <x v="1"/>
    <n v="58"/>
    <s v="Pune"/>
    <x v="2"/>
    <s v="Software Engineer"/>
    <s v="MBA"/>
    <n v="15"/>
    <n v="78827"/>
    <n v="88.52"/>
    <n v="20"/>
    <n v="26"/>
    <n v="73"/>
    <s v="Low"/>
    <x v="200"/>
    <x v="1"/>
  </r>
  <r>
    <x v="339"/>
    <x v="339"/>
    <x v="1"/>
    <n v="26"/>
    <s v="Bangalore"/>
    <x v="5"/>
    <s v="Marketing Executive"/>
    <s v="Bachelors"/>
    <n v="3"/>
    <n v="75603"/>
    <n v="77.349999999999994"/>
    <n v="8"/>
    <n v="44"/>
    <n v="16"/>
    <s v="Low"/>
    <x v="244"/>
    <x v="0"/>
  </r>
  <r>
    <x v="340"/>
    <x v="340"/>
    <x v="1"/>
    <n v="25"/>
    <s v="Chennai"/>
    <x v="1"/>
    <s v="Sales Executive"/>
    <s v="Diploma"/>
    <n v="0"/>
    <n v="149692"/>
    <n v="94.42"/>
    <n v="12"/>
    <n v="43"/>
    <n v="10"/>
    <s v="Low"/>
    <x v="245"/>
    <x v="0"/>
  </r>
  <r>
    <x v="341"/>
    <x v="341"/>
    <x v="1"/>
    <n v="41"/>
    <s v="Chennai"/>
    <x v="1"/>
    <s v="Business Development Executive"/>
    <s v="Bachelors"/>
    <n v="6"/>
    <n v="44024"/>
    <n v="77.87"/>
    <n v="13"/>
    <n v="32"/>
    <n v="110"/>
    <s v="High"/>
    <x v="88"/>
    <x v="1"/>
  </r>
  <r>
    <x v="342"/>
    <x v="342"/>
    <x v="0"/>
    <n v="58"/>
    <s v="Pune"/>
    <x v="4"/>
    <s v="Financial Analyst"/>
    <s v="MBA"/>
    <n v="25"/>
    <n v="107648"/>
    <n v="78.7"/>
    <n v="4"/>
    <n v="17"/>
    <n v="110"/>
    <s v="Low"/>
    <x v="199"/>
    <x v="0"/>
  </r>
  <r>
    <x v="343"/>
    <x v="343"/>
    <x v="0"/>
    <n v="31"/>
    <s v="Hyderabad"/>
    <x v="0"/>
    <s v="Recruiter"/>
    <s v="Bachelors"/>
    <n v="9"/>
    <n v="88692"/>
    <n v="91.73"/>
    <n v="20"/>
    <n v="27"/>
    <n v="23"/>
    <s v="Low"/>
    <x v="8"/>
    <x v="0"/>
  </r>
  <r>
    <x v="344"/>
    <x v="344"/>
    <x v="1"/>
    <n v="34"/>
    <s v="Delhi"/>
    <x v="0"/>
    <s v="HR Executive"/>
    <s v="Bachelors"/>
    <n v="4"/>
    <n v="80191"/>
    <n v="81.91"/>
    <n v="4"/>
    <n v="47"/>
    <n v="116"/>
    <s v="Low"/>
    <x v="246"/>
    <x v="0"/>
  </r>
  <r>
    <x v="345"/>
    <x v="345"/>
    <x v="1"/>
    <n v="38"/>
    <s v="Pune"/>
    <x v="4"/>
    <s v="Auditor"/>
    <s v="Diploma"/>
    <n v="5"/>
    <n v="75754"/>
    <n v="79.180000000000007"/>
    <n v="16"/>
    <n v="0"/>
    <n v="15"/>
    <s v="High"/>
    <x v="247"/>
    <x v="0"/>
  </r>
  <r>
    <x v="346"/>
    <x v="346"/>
    <x v="0"/>
    <n v="28"/>
    <s v="Chennai"/>
    <x v="3"/>
    <s v="Operations Executive"/>
    <s v="Masters"/>
    <n v="3"/>
    <n v="75206"/>
    <n v="88.15"/>
    <n v="11"/>
    <n v="14"/>
    <n v="58"/>
    <s v="High"/>
    <x v="248"/>
    <x v="0"/>
  </r>
  <r>
    <x v="347"/>
    <x v="347"/>
    <x v="0"/>
    <n v="35"/>
    <s v="Delhi"/>
    <x v="5"/>
    <s v="SEO Analyst"/>
    <s v="Bachelors"/>
    <n v="12"/>
    <n v="138033"/>
    <n v="97.61"/>
    <n v="20"/>
    <n v="25"/>
    <n v="28"/>
    <s v="High"/>
    <x v="249"/>
    <x v="1"/>
  </r>
  <r>
    <x v="348"/>
    <x v="348"/>
    <x v="0"/>
    <n v="45"/>
    <s v="Chennai"/>
    <x v="0"/>
    <s v="Recruiter"/>
    <s v="Diploma"/>
    <n v="13"/>
    <n v="91814"/>
    <n v="87.29"/>
    <n v="6"/>
    <n v="57"/>
    <n v="59"/>
    <s v="Low"/>
    <x v="250"/>
    <x v="0"/>
  </r>
  <r>
    <x v="349"/>
    <x v="349"/>
    <x v="1"/>
    <n v="39"/>
    <s v="Bangalore"/>
    <x v="1"/>
    <s v="Sales Manager"/>
    <s v="Diploma"/>
    <n v="8"/>
    <n v="146311"/>
    <n v="84.8"/>
    <n v="17"/>
    <n v="34"/>
    <n v="28"/>
    <s v="Medium"/>
    <x v="169"/>
    <x v="0"/>
  </r>
  <r>
    <x v="350"/>
    <x v="350"/>
    <x v="0"/>
    <n v="38"/>
    <s v="Chennai"/>
    <x v="5"/>
    <s v="SEO Analyst"/>
    <s v="MBA"/>
    <n v="11"/>
    <n v="85483"/>
    <n v="87.07"/>
    <n v="16"/>
    <n v="42"/>
    <n v="101"/>
    <s v="High"/>
    <x v="233"/>
    <x v="1"/>
  </r>
  <r>
    <x v="351"/>
    <x v="351"/>
    <x v="0"/>
    <n v="42"/>
    <s v="Chennai"/>
    <x v="4"/>
    <s v="Financial Analyst"/>
    <s v="Diploma"/>
    <n v="17"/>
    <n v="100883"/>
    <n v="74.489999999999995"/>
    <n v="19"/>
    <n v="34"/>
    <n v="75"/>
    <s v="High"/>
    <x v="65"/>
    <x v="0"/>
  </r>
  <r>
    <x v="352"/>
    <x v="352"/>
    <x v="1"/>
    <n v="55"/>
    <s v="Pune"/>
    <x v="3"/>
    <s v="Operations Executive"/>
    <s v="MBA"/>
    <n v="27"/>
    <n v="76157"/>
    <n v="88.81"/>
    <n v="13"/>
    <n v="1"/>
    <n v="109"/>
    <s v="Medium"/>
    <x v="251"/>
    <x v="1"/>
  </r>
  <r>
    <x v="353"/>
    <x v="353"/>
    <x v="1"/>
    <n v="28"/>
    <s v="Delhi"/>
    <x v="0"/>
    <s v="HR Executive"/>
    <s v="Bachelors"/>
    <n v="3"/>
    <n v="42902"/>
    <n v="92.19"/>
    <n v="19"/>
    <n v="48"/>
    <n v="85"/>
    <s v="High"/>
    <x v="252"/>
    <x v="0"/>
  </r>
  <r>
    <x v="354"/>
    <x v="354"/>
    <x v="0"/>
    <n v="48"/>
    <s v="Pune"/>
    <x v="1"/>
    <s v="Sales Executive"/>
    <s v="MBA"/>
    <n v="12"/>
    <n v="73912"/>
    <n v="78.16"/>
    <n v="19"/>
    <n v="55"/>
    <n v="96"/>
    <s v="Low"/>
    <x v="118"/>
    <x v="1"/>
  </r>
  <r>
    <x v="355"/>
    <x v="355"/>
    <x v="0"/>
    <n v="57"/>
    <s v="Mumbai"/>
    <x v="3"/>
    <s v="Supervisor"/>
    <s v="Diploma"/>
    <n v="15"/>
    <n v="95768"/>
    <n v="73.459999999999994"/>
    <n v="2"/>
    <n v="27"/>
    <n v="89"/>
    <s v="Low"/>
    <x v="231"/>
    <x v="0"/>
  </r>
  <r>
    <x v="356"/>
    <x v="356"/>
    <x v="0"/>
    <n v="57"/>
    <s v="Hyderabad"/>
    <x v="0"/>
    <s v="HR Manager"/>
    <s v="Diploma"/>
    <n v="11"/>
    <n v="56354"/>
    <n v="91.13"/>
    <n v="19"/>
    <n v="20"/>
    <n v="119"/>
    <s v="Medium"/>
    <x v="56"/>
    <x v="1"/>
  </r>
  <r>
    <x v="357"/>
    <x v="357"/>
    <x v="1"/>
    <n v="26"/>
    <s v="Delhi"/>
    <x v="0"/>
    <s v="Recruiter"/>
    <s v="Masters"/>
    <n v="2"/>
    <n v="54147"/>
    <n v="85.31"/>
    <n v="7"/>
    <n v="34"/>
    <n v="5"/>
    <s v="Low"/>
    <x v="253"/>
    <x v="0"/>
  </r>
  <r>
    <x v="358"/>
    <x v="358"/>
    <x v="1"/>
    <n v="22"/>
    <s v="Delhi"/>
    <x v="5"/>
    <s v="Content Strategist"/>
    <s v="Diploma"/>
    <n v="1"/>
    <n v="81536"/>
    <n v="84.75"/>
    <n v="12"/>
    <n v="58"/>
    <n v="6"/>
    <s v="Low"/>
    <x v="185"/>
    <x v="0"/>
  </r>
  <r>
    <x v="359"/>
    <x v="359"/>
    <x v="0"/>
    <n v="43"/>
    <s v="Chennai"/>
    <x v="2"/>
    <s v="Data Analyst"/>
    <s v="Masters"/>
    <n v="12"/>
    <n v="71780"/>
    <n v="71.34"/>
    <n v="6"/>
    <n v="55"/>
    <n v="46"/>
    <s v="Medium"/>
    <x v="254"/>
    <x v="0"/>
  </r>
  <r>
    <x v="360"/>
    <x v="360"/>
    <x v="0"/>
    <n v="55"/>
    <s v="Mumbai"/>
    <x v="4"/>
    <s v="Financial Analyst"/>
    <s v="MBA"/>
    <n v="16"/>
    <n v="147706"/>
    <n v="72.3"/>
    <n v="1"/>
    <n v="5"/>
    <n v="96"/>
    <s v="Low"/>
    <x v="62"/>
    <x v="0"/>
  </r>
  <r>
    <x v="361"/>
    <x v="179"/>
    <x v="0"/>
    <n v="46"/>
    <s v="Delhi"/>
    <x v="1"/>
    <s v="Sales Manager"/>
    <s v="MBA"/>
    <n v="5"/>
    <n v="112511"/>
    <n v="85.15"/>
    <n v="13"/>
    <n v="54"/>
    <n v="65"/>
    <s v="Medium"/>
    <x v="153"/>
    <x v="0"/>
  </r>
  <r>
    <x v="362"/>
    <x v="361"/>
    <x v="0"/>
    <n v="27"/>
    <s v="Pune"/>
    <x v="1"/>
    <s v="Sales Manager"/>
    <s v="Diploma"/>
    <n v="4"/>
    <n v="134291"/>
    <n v="84.72"/>
    <n v="7"/>
    <n v="12"/>
    <n v="33"/>
    <s v="High"/>
    <x v="255"/>
    <x v="0"/>
  </r>
  <r>
    <x v="363"/>
    <x v="362"/>
    <x v="0"/>
    <n v="43"/>
    <s v="Hyderabad"/>
    <x v="4"/>
    <s v="Accountant"/>
    <s v="MBA"/>
    <n v="9"/>
    <n v="153078"/>
    <n v="95.62"/>
    <n v="16"/>
    <n v="60"/>
    <n v="18"/>
    <s v="High"/>
    <x v="4"/>
    <x v="0"/>
  </r>
  <r>
    <x v="364"/>
    <x v="363"/>
    <x v="1"/>
    <n v="36"/>
    <s v="Mumbai"/>
    <x v="4"/>
    <s v="Accountant"/>
    <s v="Masters"/>
    <n v="0"/>
    <n v="120504"/>
    <n v="79.290000000000006"/>
    <n v="2"/>
    <n v="19"/>
    <n v="33"/>
    <s v="Medium"/>
    <x v="256"/>
    <x v="0"/>
  </r>
  <r>
    <x v="365"/>
    <x v="364"/>
    <x v="0"/>
    <n v="56"/>
    <s v="Chennai"/>
    <x v="5"/>
    <s v="Content Strategist"/>
    <s v="Bachelors"/>
    <n v="0"/>
    <n v="123483"/>
    <n v="85.13"/>
    <n v="15"/>
    <n v="12"/>
    <n v="42"/>
    <s v="Low"/>
    <x v="34"/>
    <x v="0"/>
  </r>
  <r>
    <x v="366"/>
    <x v="365"/>
    <x v="1"/>
    <n v="29"/>
    <s v="Chennai"/>
    <x v="4"/>
    <s v="Accountant"/>
    <s v="Masters"/>
    <n v="7"/>
    <n v="92455"/>
    <n v="83.18"/>
    <n v="5"/>
    <n v="20"/>
    <n v="100"/>
    <s v="High"/>
    <x v="257"/>
    <x v="0"/>
  </r>
  <r>
    <x v="367"/>
    <x v="366"/>
    <x v="0"/>
    <n v="39"/>
    <s v="Chennai"/>
    <x v="1"/>
    <s v="Sales Manager"/>
    <s v="Diploma"/>
    <n v="2"/>
    <n v="37961"/>
    <n v="68"/>
    <n v="16"/>
    <n v="38"/>
    <n v="31"/>
    <s v="High"/>
    <x v="258"/>
    <x v="0"/>
  </r>
  <r>
    <x v="368"/>
    <x v="367"/>
    <x v="0"/>
    <n v="44"/>
    <s v="Pune"/>
    <x v="5"/>
    <s v="Marketing Executive"/>
    <s v="MBA"/>
    <n v="16"/>
    <n v="46952"/>
    <n v="73.3"/>
    <n v="14"/>
    <n v="4"/>
    <n v="35"/>
    <s v="Low"/>
    <x v="152"/>
    <x v="0"/>
  </r>
  <r>
    <x v="369"/>
    <x v="368"/>
    <x v="0"/>
    <n v="38"/>
    <s v="Hyderabad"/>
    <x v="0"/>
    <s v="HR Manager"/>
    <s v="Diploma"/>
    <n v="0"/>
    <n v="89240"/>
    <n v="68.099999999999994"/>
    <n v="2"/>
    <n v="34"/>
    <n v="12"/>
    <s v="Low"/>
    <x v="259"/>
    <x v="0"/>
  </r>
  <r>
    <x v="370"/>
    <x v="369"/>
    <x v="0"/>
    <n v="22"/>
    <s v="Bangalore"/>
    <x v="1"/>
    <s v="Business Development Executive"/>
    <s v="MBA"/>
    <n v="1"/>
    <n v="31750"/>
    <n v="85.86"/>
    <n v="8"/>
    <n v="44"/>
    <n v="96"/>
    <s v="High"/>
    <x v="260"/>
    <x v="0"/>
  </r>
  <r>
    <x v="371"/>
    <x v="370"/>
    <x v="0"/>
    <n v="37"/>
    <s v="Hyderabad"/>
    <x v="4"/>
    <s v="Accountant"/>
    <s v="Masters"/>
    <n v="3"/>
    <n v="106338"/>
    <n v="85.76"/>
    <n v="10"/>
    <n v="32"/>
    <n v="69"/>
    <s v="Medium"/>
    <x v="261"/>
    <x v="0"/>
  </r>
  <r>
    <x v="372"/>
    <x v="371"/>
    <x v="0"/>
    <n v="40"/>
    <s v="Delhi"/>
    <x v="4"/>
    <s v="Auditor"/>
    <s v="MBA"/>
    <n v="19"/>
    <n v="50239"/>
    <n v="65.27"/>
    <n v="13"/>
    <n v="7"/>
    <n v="32"/>
    <s v="Low"/>
    <x v="167"/>
    <x v="0"/>
  </r>
  <r>
    <x v="373"/>
    <x v="372"/>
    <x v="0"/>
    <n v="45"/>
    <s v="Chennai"/>
    <x v="4"/>
    <s v="Accountant"/>
    <s v="Diploma"/>
    <n v="5"/>
    <n v="115258"/>
    <n v="83.83"/>
    <n v="18"/>
    <n v="37"/>
    <n v="64"/>
    <s v="Low"/>
    <x v="57"/>
    <x v="0"/>
  </r>
  <r>
    <x v="374"/>
    <x v="373"/>
    <x v="1"/>
    <n v="42"/>
    <s v="Hyderabad"/>
    <x v="3"/>
    <s v="Coordinator"/>
    <s v="Masters"/>
    <n v="19"/>
    <n v="70962"/>
    <n v="74.739999999999995"/>
    <n v="12"/>
    <n v="53"/>
    <n v="70"/>
    <s v="Medium"/>
    <x v="262"/>
    <x v="0"/>
  </r>
  <r>
    <x v="375"/>
    <x v="374"/>
    <x v="0"/>
    <n v="56"/>
    <s v="Delhi"/>
    <x v="3"/>
    <s v="Supervisor"/>
    <s v="Masters"/>
    <n v="33"/>
    <n v="107353"/>
    <n v="74.069999999999993"/>
    <n v="4"/>
    <n v="45"/>
    <n v="101"/>
    <s v="Medium"/>
    <x v="247"/>
    <x v="0"/>
  </r>
  <r>
    <x v="376"/>
    <x v="375"/>
    <x v="1"/>
    <n v="28"/>
    <s v="Bangalore"/>
    <x v="2"/>
    <s v="Software Engineer"/>
    <s v="Bachelors"/>
    <n v="3"/>
    <n v="79743"/>
    <n v="80.69"/>
    <n v="8"/>
    <n v="11"/>
    <n v="92"/>
    <s v="Low"/>
    <x v="191"/>
    <x v="0"/>
  </r>
  <r>
    <x v="377"/>
    <x v="376"/>
    <x v="1"/>
    <n v="57"/>
    <s v="Delhi"/>
    <x v="0"/>
    <s v="HR Manager"/>
    <s v="Bachelors"/>
    <n v="15"/>
    <n v="59620"/>
    <n v="84.63"/>
    <n v="15"/>
    <n v="58"/>
    <n v="74"/>
    <s v="High"/>
    <x v="118"/>
    <x v="1"/>
  </r>
  <r>
    <x v="378"/>
    <x v="377"/>
    <x v="0"/>
    <n v="38"/>
    <s v="Pune"/>
    <x v="2"/>
    <s v="Data Analyst"/>
    <s v="MBA"/>
    <n v="16"/>
    <n v="122276"/>
    <n v="87.9"/>
    <n v="2"/>
    <n v="27"/>
    <n v="80"/>
    <s v="Medium"/>
    <x v="62"/>
    <x v="0"/>
  </r>
  <r>
    <x v="379"/>
    <x v="378"/>
    <x v="0"/>
    <n v="39"/>
    <s v="Pune"/>
    <x v="4"/>
    <s v="Auditor"/>
    <s v="Masters"/>
    <n v="10"/>
    <n v="132785"/>
    <n v="76.209999999999994"/>
    <n v="18"/>
    <n v="58"/>
    <n v="75"/>
    <s v="High"/>
    <x v="263"/>
    <x v="0"/>
  </r>
  <r>
    <x v="380"/>
    <x v="379"/>
    <x v="0"/>
    <n v="58"/>
    <s v="Mumbai"/>
    <x v="0"/>
    <s v="HR Executive"/>
    <s v="Masters"/>
    <n v="1"/>
    <n v="51787"/>
    <n v="75.739999999999995"/>
    <n v="5"/>
    <n v="25"/>
    <n v="11"/>
    <s v="Medium"/>
    <x v="264"/>
    <x v="0"/>
  </r>
  <r>
    <x v="381"/>
    <x v="380"/>
    <x v="0"/>
    <n v="47"/>
    <s v="Pune"/>
    <x v="5"/>
    <s v="SEO Analyst"/>
    <s v="Bachelors"/>
    <n v="22"/>
    <n v="87496"/>
    <n v="99.06"/>
    <n v="16"/>
    <n v="24"/>
    <n v="77"/>
    <s v="High"/>
    <x v="7"/>
    <x v="1"/>
  </r>
  <r>
    <x v="382"/>
    <x v="381"/>
    <x v="0"/>
    <n v="32"/>
    <s v="Bangalore"/>
    <x v="1"/>
    <s v="Sales Manager"/>
    <s v="Diploma"/>
    <n v="4"/>
    <n v="52507"/>
    <n v="68.11"/>
    <n v="19"/>
    <n v="37"/>
    <n v="87"/>
    <s v="Medium"/>
    <x v="194"/>
    <x v="1"/>
  </r>
  <r>
    <x v="383"/>
    <x v="382"/>
    <x v="1"/>
    <n v="32"/>
    <s v="Bangalore"/>
    <x v="5"/>
    <s v="SEO Analyst"/>
    <s v="Diploma"/>
    <n v="6"/>
    <n v="132395"/>
    <n v="76.88"/>
    <n v="2"/>
    <n v="2"/>
    <n v="41"/>
    <s v="Low"/>
    <x v="265"/>
    <x v="0"/>
  </r>
  <r>
    <x v="384"/>
    <x v="383"/>
    <x v="0"/>
    <n v="53"/>
    <s v="Mumbai"/>
    <x v="5"/>
    <s v="Content Strategist"/>
    <s v="Bachelors"/>
    <n v="6"/>
    <n v="85948"/>
    <n v="96.59"/>
    <n v="1"/>
    <n v="59"/>
    <n v="14"/>
    <s v="High"/>
    <x v="266"/>
    <x v="0"/>
  </r>
  <r>
    <x v="385"/>
    <x v="384"/>
    <x v="0"/>
    <n v="34"/>
    <s v="Mumbai"/>
    <x v="4"/>
    <s v="Accountant"/>
    <s v="Bachelors"/>
    <n v="1"/>
    <n v="152770"/>
    <n v="92.55"/>
    <n v="16"/>
    <n v="55"/>
    <n v="29"/>
    <s v="Low"/>
    <x v="192"/>
    <x v="0"/>
  </r>
  <r>
    <x v="386"/>
    <x v="385"/>
    <x v="1"/>
    <n v="36"/>
    <s v="Hyderabad"/>
    <x v="4"/>
    <s v="Accountant"/>
    <s v="Masters"/>
    <n v="12"/>
    <n v="67791"/>
    <n v="86.26"/>
    <n v="12"/>
    <n v="19"/>
    <n v="64"/>
    <s v="Medium"/>
    <x v="8"/>
    <x v="0"/>
  </r>
  <r>
    <x v="387"/>
    <x v="386"/>
    <x v="0"/>
    <n v="28"/>
    <s v="Delhi"/>
    <x v="2"/>
    <s v="System Admin"/>
    <s v="Masters"/>
    <n v="1"/>
    <n v="139696"/>
    <n v="71.91"/>
    <n v="8"/>
    <n v="23"/>
    <n v="70"/>
    <s v="Low"/>
    <x v="71"/>
    <x v="0"/>
  </r>
  <r>
    <x v="388"/>
    <x v="387"/>
    <x v="1"/>
    <n v="53"/>
    <s v="Hyderabad"/>
    <x v="5"/>
    <s v="SEO Analyst"/>
    <s v="Masters"/>
    <n v="28"/>
    <n v="74824"/>
    <n v="67.55"/>
    <n v="6"/>
    <n v="44"/>
    <n v="91"/>
    <s v="High"/>
    <x v="2"/>
    <x v="0"/>
  </r>
  <r>
    <x v="389"/>
    <x v="388"/>
    <x v="0"/>
    <n v="31"/>
    <s v="Hyderabad"/>
    <x v="3"/>
    <s v="Supervisor"/>
    <s v="Bachelors"/>
    <n v="3"/>
    <n v="94803"/>
    <n v="89.23"/>
    <n v="19"/>
    <n v="21"/>
    <n v="73"/>
    <s v="High"/>
    <x v="267"/>
    <x v="1"/>
  </r>
  <r>
    <x v="390"/>
    <x v="389"/>
    <x v="0"/>
    <n v="35"/>
    <s v="Hyderabad"/>
    <x v="4"/>
    <s v="Auditor"/>
    <s v="Masters"/>
    <n v="1"/>
    <n v="112006"/>
    <n v="70.02"/>
    <n v="9"/>
    <n v="55"/>
    <n v="30"/>
    <s v="High"/>
    <x v="268"/>
    <x v="0"/>
  </r>
  <r>
    <x v="391"/>
    <x v="390"/>
    <x v="0"/>
    <n v="42"/>
    <s v="Hyderabad"/>
    <x v="1"/>
    <s v="Business Development Executive"/>
    <s v="Bachelors"/>
    <n v="16"/>
    <n v="95773"/>
    <n v="85.97"/>
    <n v="7"/>
    <n v="7"/>
    <n v="114"/>
    <s v="High"/>
    <x v="269"/>
    <x v="0"/>
  </r>
  <r>
    <x v="392"/>
    <x v="391"/>
    <x v="0"/>
    <n v="45"/>
    <s v="Chennai"/>
    <x v="2"/>
    <s v="System Admin"/>
    <s v="Bachelors"/>
    <n v="2"/>
    <n v="177706"/>
    <n v="75.150000000000006"/>
    <n v="9"/>
    <n v="42"/>
    <n v="52"/>
    <s v="Medium"/>
    <x v="245"/>
    <x v="0"/>
  </r>
  <r>
    <x v="393"/>
    <x v="392"/>
    <x v="1"/>
    <n v="41"/>
    <s v="Bangalore"/>
    <x v="4"/>
    <s v="Financial Analyst"/>
    <s v="Bachelors"/>
    <n v="6"/>
    <n v="154370"/>
    <n v="94.56"/>
    <n v="16"/>
    <n v="43"/>
    <n v="62"/>
    <s v="High"/>
    <x v="270"/>
    <x v="1"/>
  </r>
  <r>
    <x v="394"/>
    <x v="393"/>
    <x v="1"/>
    <n v="42"/>
    <s v="Bangalore"/>
    <x v="1"/>
    <s v="Sales Manager"/>
    <s v="Bachelors"/>
    <n v="19"/>
    <n v="128805"/>
    <n v="97.45"/>
    <n v="3"/>
    <n v="57"/>
    <n v="80"/>
    <s v="Medium"/>
    <x v="167"/>
    <x v="0"/>
  </r>
  <r>
    <x v="395"/>
    <x v="394"/>
    <x v="0"/>
    <n v="56"/>
    <s v="Delhi"/>
    <x v="2"/>
    <s v="DevOps Engineer"/>
    <s v="Diploma"/>
    <n v="28"/>
    <n v="177026"/>
    <n v="81.09"/>
    <n v="4"/>
    <n v="24"/>
    <n v="100"/>
    <s v="Low"/>
    <x v="161"/>
    <x v="0"/>
  </r>
  <r>
    <x v="396"/>
    <x v="395"/>
    <x v="0"/>
    <n v="29"/>
    <s v="Mumbai"/>
    <x v="4"/>
    <s v="Accountant"/>
    <s v="Diploma"/>
    <n v="1"/>
    <n v="135435"/>
    <n v="87.22"/>
    <n v="6"/>
    <n v="51"/>
    <n v="16"/>
    <s v="Medium"/>
    <x v="271"/>
    <x v="0"/>
  </r>
  <r>
    <x v="397"/>
    <x v="396"/>
    <x v="1"/>
    <n v="54"/>
    <s v="Pune"/>
    <x v="5"/>
    <s v="Content Strategist"/>
    <s v="Masters"/>
    <n v="28"/>
    <n v="108358"/>
    <n v="96.11"/>
    <n v="6"/>
    <n v="44"/>
    <n v="91"/>
    <s v="Medium"/>
    <x v="272"/>
    <x v="1"/>
  </r>
  <r>
    <x v="398"/>
    <x v="397"/>
    <x v="1"/>
    <n v="43"/>
    <s v="Delhi"/>
    <x v="0"/>
    <s v="HR Manager"/>
    <s v="MBA"/>
    <n v="19"/>
    <n v="67000"/>
    <n v="95.98"/>
    <n v="20"/>
    <n v="33"/>
    <n v="96"/>
    <s v="Low"/>
    <x v="56"/>
    <x v="1"/>
  </r>
  <r>
    <x v="399"/>
    <x v="398"/>
    <x v="0"/>
    <n v="47"/>
    <s v="Chennai"/>
    <x v="0"/>
    <s v="HR Executive"/>
    <s v="MBA"/>
    <n v="17"/>
    <n v="40897"/>
    <n v="93.61"/>
    <n v="18"/>
    <n v="2"/>
    <n v="8"/>
    <s v="Medium"/>
    <x v="47"/>
    <x v="0"/>
  </r>
  <r>
    <x v="400"/>
    <x v="399"/>
    <x v="0"/>
    <n v="29"/>
    <s v="Bangalore"/>
    <x v="3"/>
    <s v="Supervisor"/>
    <s v="MBA"/>
    <n v="7"/>
    <n v="118486"/>
    <n v="77.209999999999994"/>
    <n v="12"/>
    <n v="16"/>
    <n v="55"/>
    <s v="Medium"/>
    <x v="185"/>
    <x v="0"/>
  </r>
  <r>
    <x v="401"/>
    <x v="218"/>
    <x v="0"/>
    <n v="34"/>
    <s v="Pune"/>
    <x v="2"/>
    <s v="Data Analyst"/>
    <s v="MBA"/>
    <n v="0"/>
    <n v="85713"/>
    <n v="89.85"/>
    <n v="4"/>
    <n v="15"/>
    <n v="37"/>
    <s v="Low"/>
    <x v="273"/>
    <x v="0"/>
  </r>
  <r>
    <x v="402"/>
    <x v="400"/>
    <x v="1"/>
    <n v="37"/>
    <s v="Bangalore"/>
    <x v="3"/>
    <s v="Supervisor"/>
    <s v="MBA"/>
    <n v="15"/>
    <n v="41710"/>
    <n v="73.739999999999995"/>
    <n v="8"/>
    <n v="22"/>
    <n v="57"/>
    <s v="High"/>
    <x v="274"/>
    <x v="0"/>
  </r>
  <r>
    <x v="403"/>
    <x v="401"/>
    <x v="0"/>
    <n v="47"/>
    <s v="Hyderabad"/>
    <x v="0"/>
    <s v="Recruiter"/>
    <s v="Bachelors"/>
    <n v="18"/>
    <n v="54811"/>
    <n v="67.290000000000006"/>
    <n v="18"/>
    <n v="30"/>
    <n v="16"/>
    <s v="High"/>
    <x v="3"/>
    <x v="0"/>
  </r>
  <r>
    <x v="404"/>
    <x v="402"/>
    <x v="0"/>
    <n v="52"/>
    <s v="Bangalore"/>
    <x v="0"/>
    <s v="HR Manager"/>
    <s v="MBA"/>
    <n v="25"/>
    <n v="58257"/>
    <n v="66.52"/>
    <n v="14"/>
    <n v="22"/>
    <n v="55"/>
    <s v="Medium"/>
    <x v="275"/>
    <x v="1"/>
  </r>
  <r>
    <x v="405"/>
    <x v="403"/>
    <x v="1"/>
    <n v="23"/>
    <s v="Hyderabad"/>
    <x v="2"/>
    <s v="System Admin"/>
    <s v="MBA"/>
    <n v="1"/>
    <n v="150144"/>
    <n v="77.12"/>
    <n v="6"/>
    <n v="17"/>
    <n v="108"/>
    <s v="Low"/>
    <x v="276"/>
    <x v="0"/>
  </r>
  <r>
    <x v="406"/>
    <x v="404"/>
    <x v="1"/>
    <n v="33"/>
    <s v="Mumbai"/>
    <x v="0"/>
    <s v="HR Manager"/>
    <s v="MBA"/>
    <n v="4"/>
    <n v="77058"/>
    <n v="97.89"/>
    <n v="3"/>
    <n v="34"/>
    <n v="57"/>
    <s v="Low"/>
    <x v="260"/>
    <x v="0"/>
  </r>
  <r>
    <x v="407"/>
    <x v="405"/>
    <x v="1"/>
    <n v="58"/>
    <s v="Pune"/>
    <x v="1"/>
    <s v="Sales Manager"/>
    <s v="Bachelors"/>
    <n v="0"/>
    <n v="69958"/>
    <n v="83.01"/>
    <n v="1"/>
    <n v="60"/>
    <n v="36"/>
    <s v="Low"/>
    <x v="277"/>
    <x v="0"/>
  </r>
  <r>
    <x v="408"/>
    <x v="406"/>
    <x v="0"/>
    <n v="49"/>
    <s v="Delhi"/>
    <x v="3"/>
    <s v="Operations Executive"/>
    <s v="Masters"/>
    <n v="18"/>
    <n v="87773"/>
    <n v="88.21"/>
    <n v="15"/>
    <n v="35"/>
    <n v="110"/>
    <s v="Low"/>
    <x v="278"/>
    <x v="1"/>
  </r>
  <r>
    <x v="409"/>
    <x v="407"/>
    <x v="1"/>
    <n v="44"/>
    <s v="Hyderabad"/>
    <x v="2"/>
    <s v="System Admin"/>
    <s v="MBA"/>
    <n v="21"/>
    <n v="170293"/>
    <n v="71.930000000000007"/>
    <n v="3"/>
    <n v="45"/>
    <n v="25"/>
    <s v="Low"/>
    <x v="244"/>
    <x v="0"/>
  </r>
  <r>
    <x v="410"/>
    <x v="408"/>
    <x v="0"/>
    <n v="38"/>
    <s v="Hyderabad"/>
    <x v="3"/>
    <s v="Operations Executive"/>
    <s v="Bachelors"/>
    <n v="14"/>
    <n v="117974"/>
    <n v="95.78"/>
    <n v="4"/>
    <n v="17"/>
    <n v="50"/>
    <s v="Medium"/>
    <x v="36"/>
    <x v="0"/>
  </r>
  <r>
    <x v="411"/>
    <x v="409"/>
    <x v="0"/>
    <n v="45"/>
    <s v="Mumbai"/>
    <x v="1"/>
    <s v="Business Development Executive"/>
    <s v="Bachelors"/>
    <n v="4"/>
    <n v="56203"/>
    <n v="90.74"/>
    <n v="9"/>
    <n v="7"/>
    <n v="18"/>
    <s v="Medium"/>
    <x v="231"/>
    <x v="0"/>
  </r>
  <r>
    <x v="412"/>
    <x v="410"/>
    <x v="1"/>
    <n v="28"/>
    <s v="Pune"/>
    <x v="2"/>
    <s v="System Admin"/>
    <s v="Masters"/>
    <n v="6"/>
    <n v="143373"/>
    <n v="78.040000000000006"/>
    <n v="17"/>
    <n v="9"/>
    <n v="64"/>
    <s v="Medium"/>
    <x v="279"/>
    <x v="0"/>
  </r>
  <r>
    <x v="413"/>
    <x v="411"/>
    <x v="0"/>
    <n v="51"/>
    <s v="Chennai"/>
    <x v="4"/>
    <s v="Financial Analyst"/>
    <s v="MBA"/>
    <n v="10"/>
    <n v="150683"/>
    <n v="73.959999999999994"/>
    <n v="3"/>
    <n v="53"/>
    <n v="67"/>
    <s v="Medium"/>
    <x v="268"/>
    <x v="0"/>
  </r>
  <r>
    <x v="414"/>
    <x v="412"/>
    <x v="1"/>
    <n v="23"/>
    <s v="Bangalore"/>
    <x v="3"/>
    <s v="Coordinator"/>
    <s v="Diploma"/>
    <n v="1"/>
    <n v="44597"/>
    <n v="83.56"/>
    <n v="13"/>
    <n v="32"/>
    <n v="107"/>
    <s v="High"/>
    <x v="280"/>
    <x v="0"/>
  </r>
  <r>
    <x v="415"/>
    <x v="413"/>
    <x v="1"/>
    <n v="35"/>
    <s v="Mumbai"/>
    <x v="4"/>
    <s v="Auditor"/>
    <s v="MBA"/>
    <n v="6"/>
    <n v="119491"/>
    <n v="67.150000000000006"/>
    <n v="17"/>
    <n v="37"/>
    <n v="105"/>
    <s v="Low"/>
    <x v="75"/>
    <x v="0"/>
  </r>
  <r>
    <x v="416"/>
    <x v="414"/>
    <x v="1"/>
    <n v="25"/>
    <s v="Chennai"/>
    <x v="2"/>
    <s v="Data Analyst"/>
    <s v="MBA"/>
    <n v="1"/>
    <n v="93354"/>
    <n v="98.57"/>
    <n v="12"/>
    <n v="52"/>
    <n v="40"/>
    <s v="Medium"/>
    <x v="222"/>
    <x v="0"/>
  </r>
  <r>
    <x v="417"/>
    <x v="415"/>
    <x v="0"/>
    <n v="49"/>
    <s v="Mumbai"/>
    <x v="4"/>
    <s v="Auditor"/>
    <s v="Bachelors"/>
    <n v="4"/>
    <n v="101486"/>
    <n v="74.95"/>
    <n v="6"/>
    <n v="55"/>
    <n v="25"/>
    <s v="Medium"/>
    <x v="281"/>
    <x v="0"/>
  </r>
  <r>
    <x v="418"/>
    <x v="416"/>
    <x v="1"/>
    <n v="36"/>
    <s v="Mumbai"/>
    <x v="0"/>
    <s v="HR Executive"/>
    <s v="Masters"/>
    <n v="2"/>
    <n v="95792"/>
    <n v="82.66"/>
    <n v="2"/>
    <n v="27"/>
    <n v="36"/>
    <s v="Low"/>
    <x v="77"/>
    <x v="0"/>
  </r>
  <r>
    <x v="419"/>
    <x v="417"/>
    <x v="0"/>
    <n v="52"/>
    <s v="Bangalore"/>
    <x v="0"/>
    <s v="HR Executive"/>
    <s v="MBA"/>
    <n v="28"/>
    <n v="74552"/>
    <n v="72.03"/>
    <n v="4"/>
    <n v="49"/>
    <n v="99"/>
    <s v="Low"/>
    <x v="36"/>
    <x v="0"/>
  </r>
  <r>
    <x v="420"/>
    <x v="418"/>
    <x v="0"/>
    <n v="41"/>
    <s v="Delhi"/>
    <x v="3"/>
    <s v="Operations Executive"/>
    <s v="MBA"/>
    <n v="2"/>
    <n v="35474"/>
    <n v="84.63"/>
    <n v="5"/>
    <n v="52"/>
    <n v="47"/>
    <s v="Medium"/>
    <x v="276"/>
    <x v="0"/>
  </r>
  <r>
    <x v="421"/>
    <x v="419"/>
    <x v="0"/>
    <n v="57"/>
    <s v="Pune"/>
    <x v="3"/>
    <s v="Operations Executive"/>
    <s v="MBA"/>
    <n v="14"/>
    <n v="89664"/>
    <n v="94.27"/>
    <n v="20"/>
    <n v="44"/>
    <n v="105"/>
    <s v="High"/>
    <x v="56"/>
    <x v="1"/>
  </r>
  <r>
    <x v="422"/>
    <x v="420"/>
    <x v="0"/>
    <n v="23"/>
    <s v="Mumbai"/>
    <x v="4"/>
    <s v="Financial Analyst"/>
    <s v="MBA"/>
    <n v="1"/>
    <n v="109094"/>
    <n v="95.14"/>
    <n v="17"/>
    <n v="36"/>
    <n v="82"/>
    <s v="Medium"/>
    <x v="282"/>
    <x v="0"/>
  </r>
  <r>
    <x v="423"/>
    <x v="421"/>
    <x v="0"/>
    <n v="46"/>
    <s v="Bangalore"/>
    <x v="3"/>
    <s v="Operations Executive"/>
    <s v="Masters"/>
    <n v="5"/>
    <n v="81393"/>
    <n v="68.290000000000006"/>
    <n v="4"/>
    <n v="33"/>
    <n v="58"/>
    <s v="Medium"/>
    <x v="283"/>
    <x v="0"/>
  </r>
  <r>
    <x v="424"/>
    <x v="422"/>
    <x v="0"/>
    <n v="53"/>
    <s v="Pune"/>
    <x v="5"/>
    <s v="Marketing Executive"/>
    <s v="Bachelors"/>
    <n v="14"/>
    <n v="137753"/>
    <n v="77.28"/>
    <n v="12"/>
    <n v="58"/>
    <n v="22"/>
    <s v="Low"/>
    <x v="58"/>
    <x v="0"/>
  </r>
  <r>
    <x v="425"/>
    <x v="423"/>
    <x v="0"/>
    <n v="22"/>
    <s v="Pune"/>
    <x v="1"/>
    <s v="Business Development Executive"/>
    <s v="MBA"/>
    <n v="0"/>
    <n v="61718"/>
    <n v="79.73"/>
    <n v="20"/>
    <n v="6"/>
    <n v="19"/>
    <s v="High"/>
    <x v="284"/>
    <x v="0"/>
  </r>
  <r>
    <x v="426"/>
    <x v="424"/>
    <x v="0"/>
    <n v="34"/>
    <s v="Chennai"/>
    <x v="0"/>
    <s v="Recruiter"/>
    <s v="Diploma"/>
    <n v="10"/>
    <n v="69800"/>
    <n v="76"/>
    <n v="18"/>
    <n v="15"/>
    <n v="110"/>
    <s v="High"/>
    <x v="285"/>
    <x v="1"/>
  </r>
  <r>
    <x v="427"/>
    <x v="425"/>
    <x v="0"/>
    <n v="36"/>
    <s v="Mumbai"/>
    <x v="0"/>
    <s v="HR Manager"/>
    <s v="MBA"/>
    <n v="9"/>
    <n v="92428"/>
    <n v="96.06"/>
    <n v="8"/>
    <n v="16"/>
    <n v="99"/>
    <s v="High"/>
    <x v="98"/>
    <x v="0"/>
  </r>
  <r>
    <x v="428"/>
    <x v="426"/>
    <x v="0"/>
    <n v="25"/>
    <s v="Chennai"/>
    <x v="3"/>
    <s v="Supervisor"/>
    <s v="Masters"/>
    <n v="3"/>
    <n v="56140"/>
    <n v="79.5"/>
    <n v="6"/>
    <n v="35"/>
    <n v="78"/>
    <s v="Low"/>
    <x v="286"/>
    <x v="0"/>
  </r>
  <r>
    <x v="429"/>
    <x v="427"/>
    <x v="1"/>
    <n v="30"/>
    <s v="Bangalore"/>
    <x v="1"/>
    <s v="Business Development Executive"/>
    <s v="Diploma"/>
    <n v="7"/>
    <n v="36277"/>
    <n v="83.15"/>
    <n v="16"/>
    <n v="56"/>
    <n v="78"/>
    <s v="Low"/>
    <x v="173"/>
    <x v="0"/>
  </r>
  <r>
    <x v="430"/>
    <x v="428"/>
    <x v="1"/>
    <n v="56"/>
    <s v="Bangalore"/>
    <x v="5"/>
    <s v="Marketing Executive"/>
    <s v="Bachelors"/>
    <n v="0"/>
    <n v="53634"/>
    <n v="96.88"/>
    <n v="15"/>
    <n v="46"/>
    <n v="88"/>
    <s v="High"/>
    <x v="113"/>
    <x v="0"/>
  </r>
  <r>
    <x v="431"/>
    <x v="429"/>
    <x v="0"/>
    <n v="43"/>
    <s v="Pune"/>
    <x v="0"/>
    <s v="HR Executive"/>
    <s v="Diploma"/>
    <n v="13"/>
    <n v="71122"/>
    <n v="70.680000000000007"/>
    <n v="6"/>
    <n v="9"/>
    <n v="77"/>
    <s v="Medium"/>
    <x v="221"/>
    <x v="0"/>
  </r>
  <r>
    <x v="432"/>
    <x v="430"/>
    <x v="0"/>
    <n v="24"/>
    <s v="Hyderabad"/>
    <x v="5"/>
    <s v="Marketing Executive"/>
    <s v="MBA"/>
    <n v="0"/>
    <n v="55418"/>
    <n v="91.69"/>
    <n v="1"/>
    <n v="0"/>
    <n v="89"/>
    <s v="Low"/>
    <x v="210"/>
    <x v="0"/>
  </r>
  <r>
    <x v="433"/>
    <x v="431"/>
    <x v="0"/>
    <n v="22"/>
    <s v="Hyderabad"/>
    <x v="5"/>
    <s v="Marketing Executive"/>
    <s v="Diploma"/>
    <n v="0"/>
    <n v="94570"/>
    <n v="73.66"/>
    <n v="18"/>
    <n v="39"/>
    <n v="19"/>
    <s v="High"/>
    <x v="235"/>
    <x v="0"/>
  </r>
  <r>
    <x v="434"/>
    <x v="432"/>
    <x v="0"/>
    <n v="25"/>
    <s v="Pune"/>
    <x v="4"/>
    <s v="Auditor"/>
    <s v="Diploma"/>
    <n v="3"/>
    <n v="51539"/>
    <n v="77.25"/>
    <n v="17"/>
    <n v="60"/>
    <n v="75"/>
    <s v="High"/>
    <x v="287"/>
    <x v="0"/>
  </r>
  <r>
    <x v="435"/>
    <x v="433"/>
    <x v="0"/>
    <n v="57"/>
    <s v="Chennai"/>
    <x v="4"/>
    <s v="Auditor"/>
    <s v="Diploma"/>
    <n v="9"/>
    <n v="141624"/>
    <n v="85.91"/>
    <n v="7"/>
    <n v="41"/>
    <n v="103"/>
    <s v="Low"/>
    <x v="288"/>
    <x v="0"/>
  </r>
  <r>
    <x v="436"/>
    <x v="434"/>
    <x v="1"/>
    <n v="47"/>
    <s v="Chennai"/>
    <x v="3"/>
    <s v="Coordinator"/>
    <s v="MBA"/>
    <n v="8"/>
    <n v="112961"/>
    <n v="98.38"/>
    <n v="9"/>
    <n v="41"/>
    <n v="21"/>
    <s v="Low"/>
    <x v="24"/>
    <x v="0"/>
  </r>
  <r>
    <x v="437"/>
    <x v="435"/>
    <x v="1"/>
    <n v="58"/>
    <s v="Mumbai"/>
    <x v="0"/>
    <s v="HR Executive"/>
    <s v="Diploma"/>
    <n v="20"/>
    <n v="76665"/>
    <n v="74.06"/>
    <n v="6"/>
    <n v="56"/>
    <n v="82"/>
    <s v="Medium"/>
    <x v="257"/>
    <x v="0"/>
  </r>
  <r>
    <x v="438"/>
    <x v="436"/>
    <x v="0"/>
    <n v="52"/>
    <s v="Delhi"/>
    <x v="1"/>
    <s v="Sales Manager"/>
    <s v="MBA"/>
    <n v="25"/>
    <n v="140367"/>
    <n v="71.42"/>
    <n v="12"/>
    <n v="2"/>
    <n v="15"/>
    <s v="Medium"/>
    <x v="112"/>
    <x v="0"/>
  </r>
  <r>
    <x v="439"/>
    <x v="437"/>
    <x v="1"/>
    <n v="52"/>
    <s v="Pune"/>
    <x v="0"/>
    <s v="HR Executive"/>
    <s v="Diploma"/>
    <n v="11"/>
    <n v="58478"/>
    <n v="82.21"/>
    <n v="14"/>
    <n v="29"/>
    <n v="119"/>
    <s v="High"/>
    <x v="289"/>
    <x v="1"/>
  </r>
  <r>
    <x v="440"/>
    <x v="438"/>
    <x v="0"/>
    <n v="37"/>
    <s v="Mumbai"/>
    <x v="5"/>
    <s v="Marketing Executive"/>
    <s v="Diploma"/>
    <n v="8"/>
    <n v="104681"/>
    <n v="70.14"/>
    <n v="4"/>
    <n v="9"/>
    <n v="61"/>
    <s v="Low"/>
    <x v="217"/>
    <x v="0"/>
  </r>
  <r>
    <x v="441"/>
    <x v="439"/>
    <x v="0"/>
    <n v="38"/>
    <s v="Hyderabad"/>
    <x v="5"/>
    <s v="SEO Analyst"/>
    <s v="MBA"/>
    <n v="0"/>
    <n v="45448"/>
    <n v="81.28"/>
    <n v="3"/>
    <n v="19"/>
    <n v="31"/>
    <s v="Low"/>
    <x v="290"/>
    <x v="0"/>
  </r>
  <r>
    <x v="442"/>
    <x v="440"/>
    <x v="1"/>
    <n v="28"/>
    <s v="Chennai"/>
    <x v="5"/>
    <s v="Marketing Executive"/>
    <s v="Diploma"/>
    <n v="2"/>
    <n v="123257"/>
    <n v="89.07"/>
    <n v="20"/>
    <n v="32"/>
    <n v="28"/>
    <s v="Medium"/>
    <x v="248"/>
    <x v="0"/>
  </r>
  <r>
    <x v="443"/>
    <x v="441"/>
    <x v="0"/>
    <n v="40"/>
    <s v="Mumbai"/>
    <x v="0"/>
    <s v="HR Manager"/>
    <s v="Masters"/>
    <n v="8"/>
    <n v="80293"/>
    <n v="89.45"/>
    <n v="14"/>
    <n v="19"/>
    <n v="88"/>
    <s v="High"/>
    <x v="291"/>
    <x v="1"/>
  </r>
  <r>
    <x v="444"/>
    <x v="442"/>
    <x v="1"/>
    <n v="38"/>
    <s v="Hyderabad"/>
    <x v="0"/>
    <s v="HR Manager"/>
    <s v="Masters"/>
    <n v="16"/>
    <n v="52054"/>
    <n v="91.4"/>
    <n v="19"/>
    <n v="39"/>
    <n v="46"/>
    <s v="High"/>
    <x v="292"/>
    <x v="1"/>
  </r>
  <r>
    <x v="445"/>
    <x v="443"/>
    <x v="1"/>
    <n v="58"/>
    <s v="Chennai"/>
    <x v="1"/>
    <s v="Sales Manager"/>
    <s v="Diploma"/>
    <n v="3"/>
    <n v="149017"/>
    <n v="93.79"/>
    <n v="16"/>
    <n v="46"/>
    <n v="54"/>
    <s v="Low"/>
    <x v="229"/>
    <x v="0"/>
  </r>
  <r>
    <x v="446"/>
    <x v="444"/>
    <x v="1"/>
    <n v="37"/>
    <s v="Pune"/>
    <x v="4"/>
    <s v="Financial Analyst"/>
    <s v="Bachelors"/>
    <n v="16"/>
    <n v="152465"/>
    <n v="94.61"/>
    <n v="14"/>
    <n v="30"/>
    <n v="48"/>
    <s v="Medium"/>
    <x v="89"/>
    <x v="1"/>
  </r>
  <r>
    <x v="447"/>
    <x v="445"/>
    <x v="0"/>
    <n v="48"/>
    <s v="Hyderabad"/>
    <x v="5"/>
    <s v="Content Strategist"/>
    <s v="Masters"/>
    <n v="13"/>
    <n v="72185"/>
    <n v="95.39"/>
    <n v="6"/>
    <n v="21"/>
    <n v="113"/>
    <s v="Medium"/>
    <x v="293"/>
    <x v="0"/>
  </r>
  <r>
    <x v="448"/>
    <x v="446"/>
    <x v="1"/>
    <n v="37"/>
    <s v="Hyderabad"/>
    <x v="1"/>
    <s v="Business Development Executive"/>
    <s v="Diploma"/>
    <n v="9"/>
    <n v="139723"/>
    <n v="70.36"/>
    <n v="2"/>
    <n v="3"/>
    <n v="98"/>
    <s v="Low"/>
    <x v="104"/>
    <x v="0"/>
  </r>
  <r>
    <x v="449"/>
    <x v="447"/>
    <x v="1"/>
    <n v="53"/>
    <s v="Delhi"/>
    <x v="3"/>
    <s v="Coordinator"/>
    <s v="Masters"/>
    <n v="10"/>
    <n v="43906"/>
    <n v="92.91"/>
    <n v="5"/>
    <n v="55"/>
    <n v="17"/>
    <s v="Medium"/>
    <x v="294"/>
    <x v="0"/>
  </r>
  <r>
    <x v="450"/>
    <x v="448"/>
    <x v="1"/>
    <n v="38"/>
    <s v="Hyderabad"/>
    <x v="0"/>
    <s v="Recruiter"/>
    <s v="Masters"/>
    <n v="2"/>
    <n v="94948"/>
    <n v="99.14"/>
    <n v="4"/>
    <n v="59"/>
    <n v="76"/>
    <s v="Medium"/>
    <x v="295"/>
    <x v="0"/>
  </r>
  <r>
    <x v="451"/>
    <x v="449"/>
    <x v="0"/>
    <n v="28"/>
    <s v="Delhi"/>
    <x v="0"/>
    <s v="Recruiter"/>
    <s v="Masters"/>
    <n v="2"/>
    <n v="64099"/>
    <n v="97.67"/>
    <n v="2"/>
    <n v="50"/>
    <n v="26"/>
    <s v="Low"/>
    <x v="296"/>
    <x v="0"/>
  </r>
  <r>
    <x v="452"/>
    <x v="450"/>
    <x v="0"/>
    <n v="22"/>
    <s v="Pune"/>
    <x v="3"/>
    <s v="Supervisor"/>
    <s v="Diploma"/>
    <n v="0"/>
    <n v="109961"/>
    <n v="94.4"/>
    <n v="2"/>
    <n v="53"/>
    <n v="68"/>
    <s v="Medium"/>
    <x v="71"/>
    <x v="0"/>
  </r>
  <r>
    <x v="453"/>
    <x v="451"/>
    <x v="1"/>
    <n v="46"/>
    <s v="Bangalore"/>
    <x v="5"/>
    <s v="SEO Analyst"/>
    <s v="MBA"/>
    <n v="12"/>
    <n v="125555"/>
    <n v="85.48"/>
    <n v="11"/>
    <n v="42"/>
    <n v="106"/>
    <s v="High"/>
    <x v="118"/>
    <x v="1"/>
  </r>
  <r>
    <x v="454"/>
    <x v="452"/>
    <x v="0"/>
    <n v="34"/>
    <s v="Bangalore"/>
    <x v="2"/>
    <s v="Software Engineer"/>
    <s v="MBA"/>
    <n v="5"/>
    <n v="156095"/>
    <n v="92.14"/>
    <n v="14"/>
    <n v="3"/>
    <n v="82"/>
    <s v="Medium"/>
    <x v="297"/>
    <x v="0"/>
  </r>
  <r>
    <x v="455"/>
    <x v="453"/>
    <x v="1"/>
    <n v="53"/>
    <s v="Chennai"/>
    <x v="4"/>
    <s v="Financial Analyst"/>
    <s v="Masters"/>
    <n v="7"/>
    <n v="156141"/>
    <n v="95.03"/>
    <n v="6"/>
    <n v="35"/>
    <n v="21"/>
    <s v="Low"/>
    <x v="298"/>
    <x v="0"/>
  </r>
  <r>
    <x v="456"/>
    <x v="454"/>
    <x v="1"/>
    <n v="48"/>
    <s v="Mumbai"/>
    <x v="0"/>
    <s v="HR Executive"/>
    <s v="MBA"/>
    <n v="5"/>
    <n v="90919"/>
    <n v="70.87"/>
    <n v="6"/>
    <n v="1"/>
    <n v="107"/>
    <s v="Medium"/>
    <x v="192"/>
    <x v="0"/>
  </r>
  <r>
    <x v="457"/>
    <x v="455"/>
    <x v="0"/>
    <n v="41"/>
    <s v="Hyderabad"/>
    <x v="0"/>
    <s v="HR Executive"/>
    <s v="Diploma"/>
    <n v="14"/>
    <n v="98594"/>
    <n v="83.24"/>
    <n v="16"/>
    <n v="0"/>
    <n v="104"/>
    <s v="Medium"/>
    <x v="238"/>
    <x v="1"/>
  </r>
  <r>
    <x v="458"/>
    <x v="456"/>
    <x v="1"/>
    <n v="47"/>
    <s v="Hyderabad"/>
    <x v="4"/>
    <s v="Accountant"/>
    <s v="Masters"/>
    <n v="5"/>
    <n v="109663"/>
    <n v="91.82"/>
    <n v="17"/>
    <n v="25"/>
    <n v="12"/>
    <s v="High"/>
    <x v="127"/>
    <x v="0"/>
  </r>
  <r>
    <x v="459"/>
    <x v="457"/>
    <x v="0"/>
    <n v="44"/>
    <s v="Mumbai"/>
    <x v="0"/>
    <s v="Recruiter"/>
    <s v="Diploma"/>
    <n v="22"/>
    <n v="69820"/>
    <n v="82.81"/>
    <n v="16"/>
    <n v="33"/>
    <n v="98"/>
    <s v="Medium"/>
    <x v="299"/>
    <x v="1"/>
  </r>
  <r>
    <x v="460"/>
    <x v="458"/>
    <x v="0"/>
    <n v="34"/>
    <s v="Delhi"/>
    <x v="4"/>
    <s v="Accountant"/>
    <s v="Diploma"/>
    <n v="11"/>
    <n v="71128"/>
    <n v="90.04"/>
    <n v="5"/>
    <n v="29"/>
    <n v="38"/>
    <s v="Medium"/>
    <x v="300"/>
    <x v="0"/>
  </r>
  <r>
    <x v="461"/>
    <x v="459"/>
    <x v="0"/>
    <n v="35"/>
    <s v="Mumbai"/>
    <x v="3"/>
    <s v="Operations Executive"/>
    <s v="Diploma"/>
    <n v="11"/>
    <n v="53607"/>
    <n v="65.959999999999994"/>
    <n v="9"/>
    <n v="33"/>
    <n v="48"/>
    <s v="Medium"/>
    <x v="204"/>
    <x v="0"/>
  </r>
  <r>
    <x v="462"/>
    <x v="460"/>
    <x v="0"/>
    <n v="27"/>
    <s v="Bangalore"/>
    <x v="3"/>
    <s v="Supervisor"/>
    <s v="MBA"/>
    <n v="5"/>
    <n v="40868"/>
    <n v="78.36"/>
    <n v="11"/>
    <n v="46"/>
    <n v="32"/>
    <s v="Low"/>
    <x v="149"/>
    <x v="0"/>
  </r>
  <r>
    <x v="463"/>
    <x v="461"/>
    <x v="1"/>
    <n v="42"/>
    <s v="Chennai"/>
    <x v="4"/>
    <s v="Financial Analyst"/>
    <s v="Bachelors"/>
    <n v="6"/>
    <n v="155755"/>
    <n v="82.44"/>
    <n v="1"/>
    <n v="60"/>
    <n v="110"/>
    <s v="Medium"/>
    <x v="195"/>
    <x v="0"/>
  </r>
  <r>
    <x v="464"/>
    <x v="462"/>
    <x v="1"/>
    <n v="23"/>
    <s v="Mumbai"/>
    <x v="2"/>
    <s v="Software Engineer"/>
    <s v="Masters"/>
    <n v="2"/>
    <n v="107754"/>
    <n v="91.68"/>
    <n v="10"/>
    <n v="46"/>
    <n v="41"/>
    <s v="Low"/>
    <x v="211"/>
    <x v="0"/>
  </r>
  <r>
    <x v="465"/>
    <x v="463"/>
    <x v="0"/>
    <n v="34"/>
    <s v="Delhi"/>
    <x v="4"/>
    <s v="Auditor"/>
    <s v="MBA"/>
    <n v="3"/>
    <n v="146801"/>
    <n v="75.680000000000007"/>
    <n v="7"/>
    <n v="36"/>
    <n v="71"/>
    <s v="Medium"/>
    <x v="250"/>
    <x v="0"/>
  </r>
  <r>
    <x v="466"/>
    <x v="464"/>
    <x v="1"/>
    <n v="36"/>
    <s v="Bangalore"/>
    <x v="4"/>
    <s v="Financial Analyst"/>
    <s v="Bachelors"/>
    <n v="9"/>
    <n v="153635"/>
    <n v="88.17"/>
    <n v="2"/>
    <n v="45"/>
    <n v="89"/>
    <s v="Low"/>
    <x v="301"/>
    <x v="0"/>
  </r>
  <r>
    <x v="467"/>
    <x v="465"/>
    <x v="1"/>
    <n v="52"/>
    <s v="Pune"/>
    <x v="4"/>
    <s v="Financial Analyst"/>
    <s v="Diploma"/>
    <n v="20"/>
    <n v="135812"/>
    <n v="99.25"/>
    <n v="2"/>
    <n v="13"/>
    <n v="63"/>
    <s v="High"/>
    <x v="95"/>
    <x v="0"/>
  </r>
  <r>
    <x v="468"/>
    <x v="466"/>
    <x v="1"/>
    <n v="52"/>
    <s v="Bangalore"/>
    <x v="1"/>
    <s v="Sales Manager"/>
    <s v="MBA"/>
    <n v="26"/>
    <n v="36834"/>
    <n v="84.35"/>
    <n v="13"/>
    <n v="40"/>
    <n v="43"/>
    <s v="Medium"/>
    <x v="114"/>
    <x v="0"/>
  </r>
  <r>
    <x v="469"/>
    <x v="467"/>
    <x v="1"/>
    <n v="39"/>
    <s v="Mumbai"/>
    <x v="3"/>
    <s v="Supervisor"/>
    <s v="MBA"/>
    <n v="1"/>
    <n v="119097"/>
    <n v="75.42"/>
    <n v="2"/>
    <n v="22"/>
    <n v="30"/>
    <s v="Medium"/>
    <x v="273"/>
    <x v="0"/>
  </r>
  <r>
    <x v="470"/>
    <x v="468"/>
    <x v="0"/>
    <n v="56"/>
    <s v="Chennai"/>
    <x v="5"/>
    <s v="SEO Analyst"/>
    <s v="Bachelors"/>
    <n v="5"/>
    <n v="102752"/>
    <n v="65.87"/>
    <n v="15"/>
    <n v="22"/>
    <n v="19"/>
    <s v="Medium"/>
    <x v="94"/>
    <x v="0"/>
  </r>
  <r>
    <x v="471"/>
    <x v="469"/>
    <x v="0"/>
    <n v="22"/>
    <s v="Delhi"/>
    <x v="0"/>
    <s v="HR Manager"/>
    <s v="Bachelors"/>
    <n v="0"/>
    <n v="84641"/>
    <n v="91.11"/>
    <n v="7"/>
    <n v="26"/>
    <n v="85"/>
    <s v="High"/>
    <x v="302"/>
    <x v="0"/>
  </r>
  <r>
    <x v="472"/>
    <x v="470"/>
    <x v="0"/>
    <n v="55"/>
    <s v="Delhi"/>
    <x v="2"/>
    <s v="Software Engineer"/>
    <s v="Bachelors"/>
    <n v="34"/>
    <n v="165240"/>
    <n v="94.67"/>
    <n v="16"/>
    <n v="55"/>
    <n v="49"/>
    <s v="High"/>
    <x v="303"/>
    <x v="1"/>
  </r>
  <r>
    <x v="473"/>
    <x v="471"/>
    <x v="1"/>
    <n v="58"/>
    <s v="Pune"/>
    <x v="1"/>
    <s v="Sales Executive"/>
    <s v="Diploma"/>
    <n v="16"/>
    <n v="68588"/>
    <n v="78.75"/>
    <n v="8"/>
    <n v="18"/>
    <n v="81"/>
    <s v="High"/>
    <x v="235"/>
    <x v="0"/>
  </r>
  <r>
    <x v="474"/>
    <x v="472"/>
    <x v="1"/>
    <n v="52"/>
    <s v="Bangalore"/>
    <x v="5"/>
    <s v="Content Strategist"/>
    <s v="Masters"/>
    <n v="23"/>
    <n v="108034"/>
    <n v="83.48"/>
    <n v="2"/>
    <n v="16"/>
    <n v="112"/>
    <s v="Low"/>
    <x v="304"/>
    <x v="0"/>
  </r>
  <r>
    <x v="475"/>
    <x v="473"/>
    <x v="0"/>
    <n v="31"/>
    <s v="Bangalore"/>
    <x v="0"/>
    <s v="HR Manager"/>
    <s v="Bachelors"/>
    <n v="2"/>
    <n v="94376"/>
    <n v="94.56"/>
    <n v="12"/>
    <n v="3"/>
    <n v="59"/>
    <s v="Medium"/>
    <x v="305"/>
    <x v="0"/>
  </r>
  <r>
    <x v="476"/>
    <x v="474"/>
    <x v="1"/>
    <n v="49"/>
    <s v="Mumbai"/>
    <x v="5"/>
    <s v="SEO Analyst"/>
    <s v="Bachelors"/>
    <n v="22"/>
    <n v="94783"/>
    <n v="94.44"/>
    <n v="8"/>
    <n v="45"/>
    <n v="6"/>
    <s v="Low"/>
    <x v="306"/>
    <x v="0"/>
  </r>
  <r>
    <x v="477"/>
    <x v="475"/>
    <x v="1"/>
    <n v="38"/>
    <s v="Mumbai"/>
    <x v="2"/>
    <s v="Data Analyst"/>
    <s v="MBA"/>
    <n v="12"/>
    <n v="139462"/>
    <n v="66.95"/>
    <n v="9"/>
    <n v="5"/>
    <n v="20"/>
    <s v="Low"/>
    <x v="31"/>
    <x v="0"/>
  </r>
  <r>
    <x v="478"/>
    <x v="476"/>
    <x v="0"/>
    <n v="41"/>
    <s v="Mumbai"/>
    <x v="4"/>
    <s v="Auditor"/>
    <s v="Bachelors"/>
    <n v="12"/>
    <n v="60020"/>
    <n v="73.52"/>
    <n v="5"/>
    <n v="1"/>
    <n v="38"/>
    <s v="Low"/>
    <x v="307"/>
    <x v="0"/>
  </r>
  <r>
    <x v="479"/>
    <x v="477"/>
    <x v="1"/>
    <n v="30"/>
    <s v="Hyderabad"/>
    <x v="4"/>
    <s v="Auditor"/>
    <s v="Diploma"/>
    <n v="6"/>
    <n v="139843"/>
    <n v="87.23"/>
    <n v="19"/>
    <n v="8"/>
    <n v="18"/>
    <s v="High"/>
    <x v="241"/>
    <x v="1"/>
  </r>
  <r>
    <x v="480"/>
    <x v="478"/>
    <x v="0"/>
    <n v="54"/>
    <s v="Bangalore"/>
    <x v="0"/>
    <s v="HR Executive"/>
    <s v="Masters"/>
    <n v="21"/>
    <n v="58822"/>
    <n v="70.319999999999993"/>
    <n v="2"/>
    <n v="37"/>
    <n v="98"/>
    <s v="Medium"/>
    <x v="164"/>
    <x v="0"/>
  </r>
  <r>
    <x v="481"/>
    <x v="479"/>
    <x v="0"/>
    <n v="32"/>
    <s v="Bangalore"/>
    <x v="1"/>
    <s v="Business Development Executive"/>
    <s v="Bachelors"/>
    <n v="10"/>
    <n v="32193"/>
    <n v="97.46"/>
    <n v="9"/>
    <n v="7"/>
    <n v="43"/>
    <s v="Low"/>
    <x v="128"/>
    <x v="0"/>
  </r>
  <r>
    <x v="482"/>
    <x v="480"/>
    <x v="0"/>
    <n v="49"/>
    <s v="Bangalore"/>
    <x v="0"/>
    <s v="HR Executive"/>
    <s v="MBA"/>
    <n v="27"/>
    <n v="44953"/>
    <n v="68.98"/>
    <n v="9"/>
    <n v="10"/>
    <n v="13"/>
    <s v="Medium"/>
    <x v="224"/>
    <x v="0"/>
  </r>
  <r>
    <x v="483"/>
    <x v="481"/>
    <x v="1"/>
    <n v="22"/>
    <s v="Delhi"/>
    <x v="5"/>
    <s v="Marketing Executive"/>
    <s v="Masters"/>
    <n v="0"/>
    <n v="47926"/>
    <n v="93.18"/>
    <n v="1"/>
    <n v="55"/>
    <n v="69"/>
    <s v="Low"/>
    <x v="308"/>
    <x v="0"/>
  </r>
  <r>
    <x v="484"/>
    <x v="482"/>
    <x v="0"/>
    <n v="52"/>
    <s v="Pune"/>
    <x v="2"/>
    <s v="DevOps Engineer"/>
    <s v="Diploma"/>
    <n v="18"/>
    <n v="61231"/>
    <n v="90.86"/>
    <n v="7"/>
    <n v="10"/>
    <n v="31"/>
    <s v="Medium"/>
    <x v="57"/>
    <x v="0"/>
  </r>
  <r>
    <x v="485"/>
    <x v="483"/>
    <x v="0"/>
    <n v="58"/>
    <s v="Delhi"/>
    <x v="3"/>
    <s v="Coordinator"/>
    <s v="Diploma"/>
    <n v="1"/>
    <n v="76615"/>
    <n v="98"/>
    <n v="14"/>
    <n v="36"/>
    <n v="35"/>
    <s v="Medium"/>
    <x v="274"/>
    <x v="0"/>
  </r>
  <r>
    <x v="486"/>
    <x v="484"/>
    <x v="0"/>
    <n v="52"/>
    <s v="Chennai"/>
    <x v="0"/>
    <s v="HR Executive"/>
    <s v="Diploma"/>
    <n v="22"/>
    <n v="70720"/>
    <n v="66.73"/>
    <n v="8"/>
    <n v="46"/>
    <n v="23"/>
    <s v="Low"/>
    <x v="309"/>
    <x v="0"/>
  </r>
  <r>
    <x v="487"/>
    <x v="485"/>
    <x v="1"/>
    <n v="46"/>
    <s v="Mumbai"/>
    <x v="1"/>
    <s v="Business Development Executive"/>
    <s v="Diploma"/>
    <n v="16"/>
    <n v="142179"/>
    <n v="83.53"/>
    <n v="14"/>
    <n v="55"/>
    <n v="73"/>
    <s v="High"/>
    <x v="310"/>
    <x v="0"/>
  </r>
  <r>
    <x v="488"/>
    <x v="486"/>
    <x v="1"/>
    <n v="47"/>
    <s v="Hyderabad"/>
    <x v="2"/>
    <s v="Software Engineer"/>
    <s v="Masters"/>
    <n v="4"/>
    <n v="131181"/>
    <n v="78.900000000000006"/>
    <n v="14"/>
    <n v="43"/>
    <n v="86"/>
    <s v="Medium"/>
    <x v="36"/>
    <x v="0"/>
  </r>
  <r>
    <x v="489"/>
    <x v="487"/>
    <x v="1"/>
    <n v="44"/>
    <s v="Mumbai"/>
    <x v="4"/>
    <s v="Accountant"/>
    <s v="Diploma"/>
    <n v="17"/>
    <n v="59575"/>
    <n v="74.989999999999995"/>
    <n v="15"/>
    <n v="57"/>
    <n v="89"/>
    <s v="High"/>
    <x v="311"/>
    <x v="1"/>
  </r>
  <r>
    <x v="490"/>
    <x v="488"/>
    <x v="0"/>
    <n v="24"/>
    <s v="Hyderabad"/>
    <x v="5"/>
    <s v="Marketing Executive"/>
    <s v="MBA"/>
    <n v="2"/>
    <n v="104140"/>
    <n v="93.18"/>
    <n v="4"/>
    <n v="6"/>
    <n v="44"/>
    <s v="High"/>
    <x v="312"/>
    <x v="0"/>
  </r>
  <r>
    <x v="491"/>
    <x v="489"/>
    <x v="1"/>
    <n v="37"/>
    <s v="Bangalore"/>
    <x v="0"/>
    <s v="HR Manager"/>
    <s v="Bachelors"/>
    <n v="13"/>
    <n v="43494"/>
    <n v="67.52"/>
    <n v="18"/>
    <n v="0"/>
    <n v="33"/>
    <s v="Low"/>
    <x v="138"/>
    <x v="0"/>
  </r>
  <r>
    <x v="492"/>
    <x v="490"/>
    <x v="0"/>
    <n v="46"/>
    <s v="Pune"/>
    <x v="1"/>
    <s v="Sales Executive"/>
    <s v="Bachelors"/>
    <n v="4"/>
    <n v="118844"/>
    <n v="75.28"/>
    <n v="4"/>
    <n v="50"/>
    <n v="106"/>
    <s v="Low"/>
    <x v="136"/>
    <x v="0"/>
  </r>
  <r>
    <x v="493"/>
    <x v="491"/>
    <x v="0"/>
    <n v="49"/>
    <s v="Chennai"/>
    <x v="1"/>
    <s v="Sales Executive"/>
    <s v="Masters"/>
    <n v="13"/>
    <n v="65615"/>
    <n v="70.23"/>
    <n v="8"/>
    <n v="16"/>
    <n v="47"/>
    <s v="High"/>
    <x v="76"/>
    <x v="0"/>
  </r>
  <r>
    <x v="494"/>
    <x v="492"/>
    <x v="1"/>
    <n v="51"/>
    <s v="Mumbai"/>
    <x v="0"/>
    <s v="Recruiter"/>
    <s v="Bachelors"/>
    <n v="20"/>
    <n v="45245"/>
    <n v="95.86"/>
    <n v="9"/>
    <n v="29"/>
    <n v="66"/>
    <s v="High"/>
    <x v="98"/>
    <x v="0"/>
  </r>
  <r>
    <x v="495"/>
    <x v="493"/>
    <x v="0"/>
    <n v="45"/>
    <s v="Chennai"/>
    <x v="5"/>
    <s v="Marketing Executive"/>
    <s v="Bachelors"/>
    <n v="23"/>
    <n v="68938"/>
    <n v="73.28"/>
    <n v="6"/>
    <n v="28"/>
    <n v="101"/>
    <s v="Medium"/>
    <x v="313"/>
    <x v="0"/>
  </r>
  <r>
    <x v="496"/>
    <x v="494"/>
    <x v="1"/>
    <n v="43"/>
    <s v="Mumbai"/>
    <x v="0"/>
    <s v="HR Manager"/>
    <s v="MBA"/>
    <n v="5"/>
    <n v="73175"/>
    <n v="72.77"/>
    <n v="15"/>
    <n v="53"/>
    <n v="33"/>
    <s v="Medium"/>
    <x v="60"/>
    <x v="0"/>
  </r>
  <r>
    <x v="497"/>
    <x v="495"/>
    <x v="1"/>
    <n v="35"/>
    <s v="Delhi"/>
    <x v="2"/>
    <s v="Data Analyst"/>
    <s v="MBA"/>
    <n v="3"/>
    <n v="79943"/>
    <n v="87.2"/>
    <n v="4"/>
    <n v="35"/>
    <n v="49"/>
    <s v="Medium"/>
    <x v="314"/>
    <x v="0"/>
  </r>
  <r>
    <x v="498"/>
    <x v="496"/>
    <x v="1"/>
    <n v="23"/>
    <s v="Pune"/>
    <x v="3"/>
    <s v="Supervisor"/>
    <s v="Masters"/>
    <n v="2"/>
    <n v="117471"/>
    <n v="80.5"/>
    <n v="19"/>
    <n v="4"/>
    <n v="29"/>
    <s v="Medium"/>
    <x v="288"/>
    <x v="0"/>
  </r>
  <r>
    <x v="499"/>
    <x v="497"/>
    <x v="0"/>
    <n v="49"/>
    <s v="Pune"/>
    <x v="5"/>
    <s v="Content Strategist"/>
    <s v="Bachelors"/>
    <n v="12"/>
    <n v="117492"/>
    <n v="97.39"/>
    <n v="10"/>
    <n v="20"/>
    <n v="27"/>
    <s v="High"/>
    <x v="176"/>
    <x v="0"/>
  </r>
  <r>
    <x v="500"/>
    <x v="498"/>
    <x v="0"/>
    <n v="25"/>
    <s v="Bangalore"/>
    <x v="0"/>
    <s v="HR Manager"/>
    <s v="Masters"/>
    <n v="3"/>
    <n v="98054"/>
    <n v="98.69"/>
    <n v="11"/>
    <n v="58"/>
    <n v="109"/>
    <s v="High"/>
    <x v="229"/>
    <x v="0"/>
  </r>
  <r>
    <x v="501"/>
    <x v="499"/>
    <x v="0"/>
    <n v="29"/>
    <s v="Delhi"/>
    <x v="1"/>
    <s v="Business Development Executive"/>
    <s v="Bachelors"/>
    <n v="2"/>
    <n v="106954"/>
    <n v="94.46"/>
    <n v="17"/>
    <n v="27"/>
    <n v="22"/>
    <s v="High"/>
    <x v="315"/>
    <x v="0"/>
  </r>
  <r>
    <x v="502"/>
    <x v="500"/>
    <x v="0"/>
    <n v="55"/>
    <s v="Hyderabad"/>
    <x v="3"/>
    <s v="Supervisor"/>
    <s v="Diploma"/>
    <n v="9"/>
    <n v="45558"/>
    <n v="75.77"/>
    <n v="17"/>
    <n v="12"/>
    <n v="71"/>
    <s v="Low"/>
    <x v="233"/>
    <x v="1"/>
  </r>
  <r>
    <x v="503"/>
    <x v="501"/>
    <x v="0"/>
    <n v="58"/>
    <s v="Chennai"/>
    <x v="4"/>
    <s v="Accountant"/>
    <s v="Bachelors"/>
    <n v="36"/>
    <n v="154977"/>
    <n v="67.14"/>
    <n v="16"/>
    <n v="33"/>
    <n v="88"/>
    <s v="Medium"/>
    <x v="83"/>
    <x v="1"/>
  </r>
  <r>
    <x v="504"/>
    <x v="502"/>
    <x v="0"/>
    <n v="42"/>
    <s v="Chennai"/>
    <x v="1"/>
    <s v="Sales Executive"/>
    <s v="Diploma"/>
    <n v="17"/>
    <n v="63445"/>
    <n v="79.09"/>
    <n v="6"/>
    <n v="54"/>
    <n v="86"/>
    <s v="Medium"/>
    <x v="27"/>
    <x v="0"/>
  </r>
  <r>
    <x v="505"/>
    <x v="503"/>
    <x v="0"/>
    <n v="35"/>
    <s v="Pune"/>
    <x v="0"/>
    <s v="HR Manager"/>
    <s v="Diploma"/>
    <n v="3"/>
    <n v="46818"/>
    <n v="96.38"/>
    <n v="9"/>
    <n v="9"/>
    <n v="52"/>
    <s v="Low"/>
    <x v="316"/>
    <x v="0"/>
  </r>
  <r>
    <x v="506"/>
    <x v="504"/>
    <x v="0"/>
    <n v="53"/>
    <s v="Delhi"/>
    <x v="1"/>
    <s v="Sales Manager"/>
    <s v="MBA"/>
    <n v="9"/>
    <n v="37021"/>
    <n v="81.62"/>
    <n v="17"/>
    <n v="1"/>
    <n v="110"/>
    <s v="High"/>
    <x v="317"/>
    <x v="1"/>
  </r>
  <r>
    <x v="507"/>
    <x v="505"/>
    <x v="0"/>
    <n v="48"/>
    <s v="Bangalore"/>
    <x v="5"/>
    <s v="SEO Analyst"/>
    <s v="Diploma"/>
    <n v="22"/>
    <n v="60937"/>
    <n v="91.63"/>
    <n v="18"/>
    <n v="8"/>
    <n v="66"/>
    <s v="Medium"/>
    <x v="33"/>
    <x v="1"/>
  </r>
  <r>
    <x v="508"/>
    <x v="506"/>
    <x v="0"/>
    <n v="24"/>
    <s v="Chennai"/>
    <x v="4"/>
    <s v="Auditor"/>
    <s v="Bachelors"/>
    <n v="0"/>
    <n v="115812"/>
    <n v="80.040000000000006"/>
    <n v="9"/>
    <n v="37"/>
    <n v="41"/>
    <s v="High"/>
    <x v="318"/>
    <x v="0"/>
  </r>
  <r>
    <x v="509"/>
    <x v="507"/>
    <x v="0"/>
    <n v="38"/>
    <s v="Delhi"/>
    <x v="3"/>
    <s v="Coordinator"/>
    <s v="Bachelors"/>
    <n v="3"/>
    <n v="97980"/>
    <n v="89.84"/>
    <n v="16"/>
    <n v="47"/>
    <n v="31"/>
    <s v="High"/>
    <x v="166"/>
    <x v="0"/>
  </r>
  <r>
    <x v="510"/>
    <x v="508"/>
    <x v="0"/>
    <n v="48"/>
    <s v="Chennai"/>
    <x v="4"/>
    <s v="Financial Analyst"/>
    <s v="MBA"/>
    <n v="2"/>
    <n v="145250"/>
    <n v="90.07"/>
    <n v="12"/>
    <n v="7"/>
    <n v="13"/>
    <s v="Low"/>
    <x v="117"/>
    <x v="0"/>
  </r>
  <r>
    <x v="511"/>
    <x v="509"/>
    <x v="1"/>
    <n v="53"/>
    <s v="Chennai"/>
    <x v="2"/>
    <s v="System Admin"/>
    <s v="MBA"/>
    <n v="5"/>
    <n v="98616"/>
    <n v="87.79"/>
    <n v="5"/>
    <n v="31"/>
    <n v="119"/>
    <s v="High"/>
    <x v="112"/>
    <x v="0"/>
  </r>
  <r>
    <x v="512"/>
    <x v="510"/>
    <x v="1"/>
    <n v="39"/>
    <s v="Bangalore"/>
    <x v="1"/>
    <s v="Sales Manager"/>
    <s v="MBA"/>
    <n v="18"/>
    <n v="126186"/>
    <n v="82.02"/>
    <n v="15"/>
    <n v="42"/>
    <n v="40"/>
    <s v="High"/>
    <x v="220"/>
    <x v="0"/>
  </r>
  <r>
    <x v="513"/>
    <x v="511"/>
    <x v="1"/>
    <n v="50"/>
    <s v="Chennai"/>
    <x v="5"/>
    <s v="SEO Analyst"/>
    <s v="Bachelors"/>
    <n v="26"/>
    <n v="73122"/>
    <n v="93.38"/>
    <n v="18"/>
    <n v="4"/>
    <n v="77"/>
    <s v="Low"/>
    <x v="84"/>
    <x v="1"/>
  </r>
  <r>
    <x v="514"/>
    <x v="512"/>
    <x v="1"/>
    <n v="50"/>
    <s v="Delhi"/>
    <x v="3"/>
    <s v="Operations Executive"/>
    <s v="Masters"/>
    <n v="22"/>
    <n v="38245"/>
    <n v="76.62"/>
    <n v="20"/>
    <n v="21"/>
    <n v="37"/>
    <s v="High"/>
    <x v="278"/>
    <x v="1"/>
  </r>
  <r>
    <x v="515"/>
    <x v="513"/>
    <x v="1"/>
    <n v="37"/>
    <s v="Delhi"/>
    <x v="1"/>
    <s v="Sales Executive"/>
    <s v="Diploma"/>
    <n v="10"/>
    <n v="125255"/>
    <n v="69.39"/>
    <n v="1"/>
    <n v="9"/>
    <n v="60"/>
    <s v="Medium"/>
    <x v="71"/>
    <x v="0"/>
  </r>
  <r>
    <x v="516"/>
    <x v="514"/>
    <x v="0"/>
    <n v="56"/>
    <s v="Bangalore"/>
    <x v="1"/>
    <s v="Sales Manager"/>
    <s v="MBA"/>
    <n v="28"/>
    <n v="95227"/>
    <n v="78.83"/>
    <n v="5"/>
    <n v="18"/>
    <n v="32"/>
    <s v="Low"/>
    <x v="319"/>
    <x v="0"/>
  </r>
  <r>
    <x v="517"/>
    <x v="515"/>
    <x v="0"/>
    <n v="37"/>
    <s v="Chennai"/>
    <x v="1"/>
    <s v="Sales Executive"/>
    <s v="Masters"/>
    <n v="16"/>
    <n v="75536"/>
    <n v="77.41"/>
    <n v="16"/>
    <n v="51"/>
    <n v="94"/>
    <s v="Medium"/>
    <x v="55"/>
    <x v="1"/>
  </r>
  <r>
    <x v="518"/>
    <x v="516"/>
    <x v="1"/>
    <n v="54"/>
    <s v="Bangalore"/>
    <x v="2"/>
    <s v="DevOps Engineer"/>
    <s v="Masters"/>
    <n v="20"/>
    <n v="128592"/>
    <n v="86.63"/>
    <n v="5"/>
    <n v="34"/>
    <n v="30"/>
    <s v="High"/>
    <x v="320"/>
    <x v="0"/>
  </r>
  <r>
    <x v="519"/>
    <x v="517"/>
    <x v="1"/>
    <n v="58"/>
    <s v="Delhi"/>
    <x v="2"/>
    <s v="DevOps Engineer"/>
    <s v="Bachelors"/>
    <n v="4"/>
    <n v="62400"/>
    <n v="69.709999999999994"/>
    <n v="9"/>
    <n v="7"/>
    <n v="36"/>
    <s v="Medium"/>
    <x v="188"/>
    <x v="0"/>
  </r>
  <r>
    <x v="520"/>
    <x v="518"/>
    <x v="1"/>
    <n v="35"/>
    <s v="Bangalore"/>
    <x v="0"/>
    <s v="Recruiter"/>
    <s v="MBA"/>
    <n v="0"/>
    <n v="79803"/>
    <n v="74.180000000000007"/>
    <n v="3"/>
    <n v="35"/>
    <n v="44"/>
    <s v="Medium"/>
    <x v="321"/>
    <x v="0"/>
  </r>
  <r>
    <x v="521"/>
    <x v="519"/>
    <x v="1"/>
    <n v="42"/>
    <s v="Hyderabad"/>
    <x v="0"/>
    <s v="HR Manager"/>
    <s v="Masters"/>
    <n v="19"/>
    <n v="40960"/>
    <n v="68.569999999999993"/>
    <n v="14"/>
    <n v="6"/>
    <n v="96"/>
    <s v="High"/>
    <x v="297"/>
    <x v="0"/>
  </r>
  <r>
    <x v="522"/>
    <x v="520"/>
    <x v="1"/>
    <n v="22"/>
    <s v="Mumbai"/>
    <x v="2"/>
    <s v="DevOps Engineer"/>
    <s v="Diploma"/>
    <n v="1"/>
    <n v="143825"/>
    <n v="97.62"/>
    <n v="3"/>
    <n v="32"/>
    <n v="33"/>
    <s v="Low"/>
    <x v="253"/>
    <x v="0"/>
  </r>
  <r>
    <x v="523"/>
    <x v="521"/>
    <x v="1"/>
    <n v="33"/>
    <s v="Hyderabad"/>
    <x v="2"/>
    <s v="DevOps Engineer"/>
    <s v="MBA"/>
    <n v="5"/>
    <n v="103100"/>
    <n v="68.790000000000006"/>
    <n v="19"/>
    <n v="3"/>
    <n v="112"/>
    <s v="High"/>
    <x v="311"/>
    <x v="1"/>
  </r>
  <r>
    <x v="524"/>
    <x v="522"/>
    <x v="1"/>
    <n v="55"/>
    <s v="Hyderabad"/>
    <x v="1"/>
    <s v="Sales Manager"/>
    <s v="MBA"/>
    <n v="18"/>
    <n v="42969"/>
    <n v="81.790000000000006"/>
    <n v="20"/>
    <n v="45"/>
    <n v="71"/>
    <s v="Medium"/>
    <x v="51"/>
    <x v="0"/>
  </r>
  <r>
    <x v="525"/>
    <x v="523"/>
    <x v="1"/>
    <n v="50"/>
    <s v="Mumbai"/>
    <x v="5"/>
    <s v="Content Strategist"/>
    <s v="Bachelors"/>
    <n v="24"/>
    <n v="101384"/>
    <n v="94.75"/>
    <n v="14"/>
    <n v="19"/>
    <n v="115"/>
    <s v="High"/>
    <x v="56"/>
    <x v="1"/>
  </r>
  <r>
    <x v="526"/>
    <x v="524"/>
    <x v="0"/>
    <n v="32"/>
    <s v="Delhi"/>
    <x v="4"/>
    <s v="Accountant"/>
    <s v="MBA"/>
    <n v="8"/>
    <n v="155205"/>
    <n v="97.82"/>
    <n v="2"/>
    <n v="10"/>
    <n v="39"/>
    <s v="High"/>
    <x v="322"/>
    <x v="0"/>
  </r>
  <r>
    <x v="527"/>
    <x v="525"/>
    <x v="0"/>
    <n v="26"/>
    <s v="Pune"/>
    <x v="1"/>
    <s v="Sales Executive"/>
    <s v="MBA"/>
    <n v="0"/>
    <n v="71409"/>
    <n v="65.14"/>
    <n v="15"/>
    <n v="55"/>
    <n v="71"/>
    <s v="Low"/>
    <x v="323"/>
    <x v="0"/>
  </r>
  <r>
    <x v="528"/>
    <x v="526"/>
    <x v="0"/>
    <n v="35"/>
    <s v="Chennai"/>
    <x v="2"/>
    <s v="Data Analyst"/>
    <s v="Diploma"/>
    <n v="12"/>
    <n v="162154"/>
    <n v="94.43"/>
    <n v="16"/>
    <n v="48"/>
    <n v="6"/>
    <s v="Medium"/>
    <x v="20"/>
    <x v="0"/>
  </r>
  <r>
    <x v="529"/>
    <x v="527"/>
    <x v="1"/>
    <n v="29"/>
    <s v="Pune"/>
    <x v="1"/>
    <s v="Sales Manager"/>
    <s v="MBA"/>
    <n v="3"/>
    <n v="115682"/>
    <n v="97.4"/>
    <n v="3"/>
    <n v="38"/>
    <n v="35"/>
    <s v="Low"/>
    <x v="268"/>
    <x v="0"/>
  </r>
  <r>
    <x v="530"/>
    <x v="528"/>
    <x v="1"/>
    <n v="50"/>
    <s v="Pune"/>
    <x v="5"/>
    <s v="SEO Analyst"/>
    <s v="MBA"/>
    <n v="23"/>
    <n v="84872"/>
    <n v="84.92"/>
    <n v="17"/>
    <n v="14"/>
    <n v="106"/>
    <s v="High"/>
    <x v="56"/>
    <x v="1"/>
  </r>
  <r>
    <x v="531"/>
    <x v="529"/>
    <x v="1"/>
    <n v="45"/>
    <s v="Bangalore"/>
    <x v="4"/>
    <s v="Accountant"/>
    <s v="Diploma"/>
    <n v="1"/>
    <n v="81738"/>
    <n v="86.62"/>
    <n v="17"/>
    <n v="19"/>
    <n v="64"/>
    <s v="High"/>
    <x v="85"/>
    <x v="0"/>
  </r>
  <r>
    <x v="532"/>
    <x v="530"/>
    <x v="1"/>
    <n v="27"/>
    <s v="Bangalore"/>
    <x v="3"/>
    <s v="Operations Executive"/>
    <s v="MBA"/>
    <n v="4"/>
    <n v="60846"/>
    <n v="87.72"/>
    <n v="6"/>
    <n v="38"/>
    <n v="106"/>
    <s v="High"/>
    <x v="116"/>
    <x v="0"/>
  </r>
  <r>
    <x v="533"/>
    <x v="531"/>
    <x v="1"/>
    <n v="52"/>
    <s v="Delhi"/>
    <x v="1"/>
    <s v="Business Development Executive"/>
    <s v="Masters"/>
    <n v="1"/>
    <n v="147059"/>
    <n v="68.45"/>
    <n v="12"/>
    <n v="32"/>
    <n v="88"/>
    <s v="Low"/>
    <x v="246"/>
    <x v="0"/>
  </r>
  <r>
    <x v="534"/>
    <x v="532"/>
    <x v="1"/>
    <n v="41"/>
    <s v="Chennai"/>
    <x v="0"/>
    <s v="HR Executive"/>
    <s v="Bachelors"/>
    <n v="20"/>
    <n v="73870"/>
    <n v="80.87"/>
    <n v="9"/>
    <n v="4"/>
    <n v="88"/>
    <s v="High"/>
    <x v="39"/>
    <x v="0"/>
  </r>
  <r>
    <x v="535"/>
    <x v="533"/>
    <x v="0"/>
    <n v="33"/>
    <s v="Pune"/>
    <x v="0"/>
    <s v="Recruiter"/>
    <s v="Masters"/>
    <n v="0"/>
    <n v="46145"/>
    <n v="80.260000000000005"/>
    <n v="16"/>
    <n v="5"/>
    <n v="55"/>
    <s v="Medium"/>
    <x v="324"/>
    <x v="0"/>
  </r>
  <r>
    <x v="536"/>
    <x v="534"/>
    <x v="1"/>
    <n v="53"/>
    <s v="Mumbai"/>
    <x v="3"/>
    <s v="Coordinator"/>
    <s v="Masters"/>
    <n v="10"/>
    <n v="59940"/>
    <n v="90.53"/>
    <n v="16"/>
    <n v="37"/>
    <n v="44"/>
    <s v="Medium"/>
    <x v="325"/>
    <x v="1"/>
  </r>
  <r>
    <x v="537"/>
    <x v="535"/>
    <x v="0"/>
    <n v="47"/>
    <s v="Chennai"/>
    <x v="2"/>
    <s v="System Admin"/>
    <s v="MBA"/>
    <n v="9"/>
    <n v="63758"/>
    <n v="92.19"/>
    <n v="10"/>
    <n v="14"/>
    <n v="65"/>
    <s v="Medium"/>
    <x v="250"/>
    <x v="0"/>
  </r>
  <r>
    <x v="538"/>
    <x v="536"/>
    <x v="0"/>
    <n v="28"/>
    <s v="Chennai"/>
    <x v="4"/>
    <s v="Financial Analyst"/>
    <s v="Diploma"/>
    <n v="4"/>
    <n v="134764"/>
    <n v="90.59"/>
    <n v="16"/>
    <n v="54"/>
    <n v="97"/>
    <s v="Low"/>
    <x v="57"/>
    <x v="0"/>
  </r>
  <r>
    <x v="539"/>
    <x v="537"/>
    <x v="0"/>
    <n v="46"/>
    <s v="Pune"/>
    <x v="1"/>
    <s v="Business Development Executive"/>
    <s v="Bachelors"/>
    <n v="2"/>
    <n v="109696"/>
    <n v="80.59"/>
    <n v="19"/>
    <n v="5"/>
    <n v="83"/>
    <s v="Medium"/>
    <x v="326"/>
    <x v="0"/>
  </r>
  <r>
    <x v="540"/>
    <x v="538"/>
    <x v="1"/>
    <n v="26"/>
    <s v="Pune"/>
    <x v="1"/>
    <s v="Sales Manager"/>
    <s v="MBA"/>
    <n v="4"/>
    <n v="120995"/>
    <n v="96.99"/>
    <n v="12"/>
    <n v="1"/>
    <n v="21"/>
    <s v="High"/>
    <x v="323"/>
    <x v="0"/>
  </r>
  <r>
    <x v="541"/>
    <x v="539"/>
    <x v="0"/>
    <n v="40"/>
    <s v="Chennai"/>
    <x v="1"/>
    <s v="Sales Manager"/>
    <s v="Bachelors"/>
    <n v="8"/>
    <n v="135225"/>
    <n v="88.17"/>
    <n v="6"/>
    <n v="48"/>
    <n v="91"/>
    <s v="High"/>
    <x v="327"/>
    <x v="0"/>
  </r>
  <r>
    <x v="542"/>
    <x v="540"/>
    <x v="1"/>
    <n v="39"/>
    <s v="Delhi"/>
    <x v="4"/>
    <s v="Financial Analyst"/>
    <s v="Masters"/>
    <n v="9"/>
    <n v="96394"/>
    <n v="88.89"/>
    <n v="11"/>
    <n v="31"/>
    <n v="117"/>
    <s v="High"/>
    <x v="52"/>
    <x v="1"/>
  </r>
  <r>
    <x v="543"/>
    <x v="541"/>
    <x v="0"/>
    <n v="55"/>
    <s v="Delhi"/>
    <x v="1"/>
    <s v="Sales Manager"/>
    <s v="Diploma"/>
    <n v="29"/>
    <n v="43652"/>
    <n v="85.56"/>
    <n v="11"/>
    <n v="7"/>
    <n v="113"/>
    <s v="High"/>
    <x v="216"/>
    <x v="1"/>
  </r>
  <r>
    <x v="544"/>
    <x v="542"/>
    <x v="0"/>
    <n v="57"/>
    <s v="Mumbai"/>
    <x v="2"/>
    <s v="Software Engineer"/>
    <s v="Masters"/>
    <n v="18"/>
    <n v="86844"/>
    <n v="79.67"/>
    <n v="9"/>
    <n v="1"/>
    <n v="86"/>
    <s v="Low"/>
    <x v="328"/>
    <x v="0"/>
  </r>
  <r>
    <x v="545"/>
    <x v="543"/>
    <x v="0"/>
    <n v="48"/>
    <s v="Chennai"/>
    <x v="4"/>
    <s v="Accountant"/>
    <s v="Masters"/>
    <n v="13"/>
    <n v="77163"/>
    <n v="83.98"/>
    <n v="19"/>
    <n v="42"/>
    <n v="7"/>
    <s v="High"/>
    <x v="35"/>
    <x v="0"/>
  </r>
  <r>
    <x v="546"/>
    <x v="544"/>
    <x v="1"/>
    <n v="26"/>
    <s v="Pune"/>
    <x v="5"/>
    <s v="Content Strategist"/>
    <s v="MBA"/>
    <n v="1"/>
    <n v="105898"/>
    <n v="77.61"/>
    <n v="12"/>
    <n v="2"/>
    <n v="76"/>
    <s v="Medium"/>
    <x v="226"/>
    <x v="0"/>
  </r>
  <r>
    <x v="547"/>
    <x v="545"/>
    <x v="0"/>
    <n v="28"/>
    <s v="Mumbai"/>
    <x v="3"/>
    <s v="Operations Executive"/>
    <s v="Bachelors"/>
    <n v="0"/>
    <n v="69090"/>
    <n v="66.209999999999994"/>
    <n v="12"/>
    <n v="55"/>
    <n v="53"/>
    <s v="Low"/>
    <x v="329"/>
    <x v="0"/>
  </r>
  <r>
    <x v="548"/>
    <x v="546"/>
    <x v="1"/>
    <n v="25"/>
    <s v="Pune"/>
    <x v="5"/>
    <s v="Content Strategist"/>
    <s v="Bachelors"/>
    <n v="4"/>
    <n v="98071"/>
    <n v="95.1"/>
    <n v="19"/>
    <n v="5"/>
    <n v="76"/>
    <s v="High"/>
    <x v="330"/>
    <x v="1"/>
  </r>
  <r>
    <x v="549"/>
    <x v="547"/>
    <x v="0"/>
    <n v="27"/>
    <s v="Chennai"/>
    <x v="2"/>
    <s v="Software Engineer"/>
    <s v="Bachelors"/>
    <n v="0"/>
    <n v="169772"/>
    <n v="74.709999999999994"/>
    <n v="1"/>
    <n v="59"/>
    <n v="7"/>
    <s v="High"/>
    <x v="331"/>
    <x v="0"/>
  </r>
  <r>
    <x v="550"/>
    <x v="548"/>
    <x v="1"/>
    <n v="43"/>
    <s v="Bangalore"/>
    <x v="1"/>
    <s v="Sales Executive"/>
    <s v="Diploma"/>
    <n v="21"/>
    <n v="64797"/>
    <n v="83.35"/>
    <n v="16"/>
    <n v="53"/>
    <n v="53"/>
    <s v="Low"/>
    <x v="110"/>
    <x v="0"/>
  </r>
  <r>
    <x v="551"/>
    <x v="549"/>
    <x v="1"/>
    <n v="31"/>
    <s v="Chennai"/>
    <x v="1"/>
    <s v="Sales Manager"/>
    <s v="Bachelors"/>
    <n v="1"/>
    <n v="67173"/>
    <n v="98.21"/>
    <n v="7"/>
    <n v="9"/>
    <n v="9"/>
    <s v="Medium"/>
    <x v="217"/>
    <x v="0"/>
  </r>
  <r>
    <x v="552"/>
    <x v="550"/>
    <x v="1"/>
    <n v="45"/>
    <s v="Hyderabad"/>
    <x v="1"/>
    <s v="Business Development Executive"/>
    <s v="Diploma"/>
    <n v="14"/>
    <n v="46112"/>
    <n v="93.78"/>
    <n v="20"/>
    <n v="38"/>
    <n v="77"/>
    <s v="High"/>
    <x v="160"/>
    <x v="1"/>
  </r>
  <r>
    <x v="553"/>
    <x v="551"/>
    <x v="1"/>
    <n v="36"/>
    <s v="Hyderabad"/>
    <x v="2"/>
    <s v="DevOps Engineer"/>
    <s v="Diploma"/>
    <n v="8"/>
    <n v="75820"/>
    <n v="71.94"/>
    <n v="19"/>
    <n v="1"/>
    <n v="98"/>
    <s v="High"/>
    <x v="122"/>
    <x v="1"/>
  </r>
  <r>
    <x v="554"/>
    <x v="552"/>
    <x v="1"/>
    <n v="29"/>
    <s v="Mumbai"/>
    <x v="0"/>
    <s v="HR Executive"/>
    <s v="Diploma"/>
    <n v="7"/>
    <n v="59318"/>
    <n v="80.42"/>
    <n v="4"/>
    <n v="54"/>
    <n v="103"/>
    <s v="Medium"/>
    <x v="332"/>
    <x v="0"/>
  </r>
  <r>
    <x v="555"/>
    <x v="553"/>
    <x v="1"/>
    <n v="49"/>
    <s v="Mumbai"/>
    <x v="5"/>
    <s v="Marketing Executive"/>
    <s v="Masters"/>
    <n v="20"/>
    <n v="108845"/>
    <n v="77.14"/>
    <n v="11"/>
    <n v="25"/>
    <n v="46"/>
    <s v="Medium"/>
    <x v="287"/>
    <x v="0"/>
  </r>
  <r>
    <x v="556"/>
    <x v="554"/>
    <x v="1"/>
    <n v="22"/>
    <s v="Delhi"/>
    <x v="4"/>
    <s v="Auditor"/>
    <s v="Diploma"/>
    <n v="0"/>
    <n v="118262"/>
    <n v="94.65"/>
    <n v="13"/>
    <n v="6"/>
    <n v="114"/>
    <s v="Low"/>
    <x v="333"/>
    <x v="0"/>
  </r>
  <r>
    <x v="557"/>
    <x v="555"/>
    <x v="1"/>
    <n v="45"/>
    <s v="Delhi"/>
    <x v="0"/>
    <s v="Recruiter"/>
    <s v="Bachelors"/>
    <n v="7"/>
    <n v="86436"/>
    <n v="77.42"/>
    <n v="10"/>
    <n v="14"/>
    <n v="101"/>
    <s v="Medium"/>
    <x v="58"/>
    <x v="0"/>
  </r>
  <r>
    <x v="558"/>
    <x v="556"/>
    <x v="1"/>
    <n v="42"/>
    <s v="Chennai"/>
    <x v="5"/>
    <s v="SEO Analyst"/>
    <s v="MBA"/>
    <n v="8"/>
    <n v="112520"/>
    <n v="74.959999999999994"/>
    <n v="13"/>
    <n v="56"/>
    <n v="36"/>
    <s v="Low"/>
    <x v="334"/>
    <x v="0"/>
  </r>
  <r>
    <x v="559"/>
    <x v="557"/>
    <x v="1"/>
    <n v="52"/>
    <s v="Chennai"/>
    <x v="1"/>
    <s v="Sales Executive"/>
    <s v="MBA"/>
    <n v="18"/>
    <n v="57065"/>
    <n v="70.87"/>
    <n v="17"/>
    <n v="19"/>
    <n v="79"/>
    <s v="Low"/>
    <x v="83"/>
    <x v="1"/>
  </r>
  <r>
    <x v="560"/>
    <x v="558"/>
    <x v="1"/>
    <n v="49"/>
    <s v="Mumbai"/>
    <x v="0"/>
    <s v="Recruiter"/>
    <s v="Bachelors"/>
    <n v="3"/>
    <n v="75634"/>
    <n v="72.03"/>
    <n v="13"/>
    <n v="40"/>
    <n v="12"/>
    <s v="Medium"/>
    <x v="335"/>
    <x v="0"/>
  </r>
  <r>
    <x v="561"/>
    <x v="559"/>
    <x v="0"/>
    <n v="41"/>
    <s v="Bangalore"/>
    <x v="5"/>
    <s v="Marketing Executive"/>
    <s v="Diploma"/>
    <n v="7"/>
    <n v="73366"/>
    <n v="90.93"/>
    <n v="7"/>
    <n v="49"/>
    <n v="71"/>
    <s v="Low"/>
    <x v="336"/>
    <x v="0"/>
  </r>
  <r>
    <x v="562"/>
    <x v="560"/>
    <x v="1"/>
    <n v="46"/>
    <s v="Bangalore"/>
    <x v="5"/>
    <s v="SEO Analyst"/>
    <s v="Diploma"/>
    <n v="9"/>
    <n v="61910"/>
    <n v="68.94"/>
    <n v="2"/>
    <n v="32"/>
    <n v="24"/>
    <s v="Medium"/>
    <x v="296"/>
    <x v="0"/>
  </r>
  <r>
    <x v="563"/>
    <x v="561"/>
    <x v="0"/>
    <n v="31"/>
    <s v="Chennai"/>
    <x v="3"/>
    <s v="Supervisor"/>
    <s v="MBA"/>
    <n v="9"/>
    <n v="59261"/>
    <n v="82.99"/>
    <n v="18"/>
    <n v="7"/>
    <n v="21"/>
    <s v="Medium"/>
    <x v="337"/>
    <x v="0"/>
  </r>
  <r>
    <x v="564"/>
    <x v="562"/>
    <x v="1"/>
    <n v="39"/>
    <s v="Pune"/>
    <x v="5"/>
    <s v="Content Strategist"/>
    <s v="Diploma"/>
    <n v="7"/>
    <n v="108050"/>
    <n v="86.79"/>
    <n v="12"/>
    <n v="1"/>
    <n v="28"/>
    <s v="Medium"/>
    <x v="301"/>
    <x v="0"/>
  </r>
  <r>
    <x v="565"/>
    <x v="563"/>
    <x v="1"/>
    <n v="50"/>
    <s v="Bangalore"/>
    <x v="1"/>
    <s v="Business Development Executive"/>
    <s v="MBA"/>
    <n v="10"/>
    <n v="108929"/>
    <n v="85.17"/>
    <n v="19"/>
    <n v="31"/>
    <n v="14"/>
    <s v="Low"/>
    <x v="252"/>
    <x v="0"/>
  </r>
  <r>
    <x v="566"/>
    <x v="564"/>
    <x v="0"/>
    <n v="38"/>
    <s v="Pune"/>
    <x v="0"/>
    <s v="Recruiter"/>
    <s v="Masters"/>
    <n v="12"/>
    <n v="80527"/>
    <n v="82.43"/>
    <n v="6"/>
    <n v="25"/>
    <n v="82"/>
    <s v="Medium"/>
    <x v="101"/>
    <x v="0"/>
  </r>
  <r>
    <x v="567"/>
    <x v="565"/>
    <x v="1"/>
    <n v="30"/>
    <s v="Bangalore"/>
    <x v="4"/>
    <s v="Financial Analyst"/>
    <s v="Masters"/>
    <n v="4"/>
    <n v="59435"/>
    <n v="75.25"/>
    <n v="12"/>
    <n v="14"/>
    <n v="76"/>
    <s v="Low"/>
    <x v="338"/>
    <x v="0"/>
  </r>
  <r>
    <x v="568"/>
    <x v="566"/>
    <x v="0"/>
    <n v="24"/>
    <s v="Chennai"/>
    <x v="1"/>
    <s v="Sales Manager"/>
    <s v="Masters"/>
    <n v="2"/>
    <n v="142576"/>
    <n v="77.36"/>
    <n v="18"/>
    <n v="1"/>
    <n v="78"/>
    <s v="High"/>
    <x v="69"/>
    <x v="0"/>
  </r>
  <r>
    <x v="569"/>
    <x v="567"/>
    <x v="1"/>
    <n v="26"/>
    <s v="Chennai"/>
    <x v="0"/>
    <s v="HR Manager"/>
    <s v="Masters"/>
    <n v="2"/>
    <n v="72650"/>
    <n v="94.14"/>
    <n v="15"/>
    <n v="1"/>
    <n v="118"/>
    <s v="Low"/>
    <x v="56"/>
    <x v="0"/>
  </r>
  <r>
    <x v="570"/>
    <x v="568"/>
    <x v="1"/>
    <n v="24"/>
    <s v="Mumbai"/>
    <x v="4"/>
    <s v="Financial Analyst"/>
    <s v="Bachelors"/>
    <n v="2"/>
    <n v="139423"/>
    <n v="65.09"/>
    <n v="5"/>
    <n v="31"/>
    <n v="71"/>
    <s v="Medium"/>
    <x v="71"/>
    <x v="0"/>
  </r>
  <r>
    <x v="571"/>
    <x v="569"/>
    <x v="1"/>
    <n v="36"/>
    <s v="Bangalore"/>
    <x v="1"/>
    <s v="Business Development Executive"/>
    <s v="Masters"/>
    <n v="13"/>
    <n v="42949"/>
    <n v="88.78"/>
    <n v="17"/>
    <n v="35"/>
    <n v="116"/>
    <s v="Low"/>
    <x v="56"/>
    <x v="1"/>
  </r>
  <r>
    <x v="572"/>
    <x v="570"/>
    <x v="1"/>
    <n v="39"/>
    <s v="Delhi"/>
    <x v="4"/>
    <s v="Auditor"/>
    <s v="MBA"/>
    <n v="7"/>
    <n v="96467"/>
    <n v="70.72"/>
    <n v="12"/>
    <n v="36"/>
    <n v="56"/>
    <s v="High"/>
    <x v="195"/>
    <x v="0"/>
  </r>
  <r>
    <x v="573"/>
    <x v="571"/>
    <x v="1"/>
    <n v="36"/>
    <s v="Delhi"/>
    <x v="5"/>
    <s v="Content Strategist"/>
    <s v="MBA"/>
    <n v="8"/>
    <n v="136242"/>
    <n v="73.680000000000007"/>
    <n v="15"/>
    <n v="50"/>
    <n v="45"/>
    <s v="Low"/>
    <x v="274"/>
    <x v="0"/>
  </r>
  <r>
    <x v="574"/>
    <x v="572"/>
    <x v="0"/>
    <n v="45"/>
    <s v="Bangalore"/>
    <x v="5"/>
    <s v="SEO Analyst"/>
    <s v="Masters"/>
    <n v="19"/>
    <n v="63202"/>
    <n v="69"/>
    <n v="17"/>
    <n v="50"/>
    <n v="48"/>
    <s v="Medium"/>
    <x v="339"/>
    <x v="1"/>
  </r>
  <r>
    <x v="575"/>
    <x v="573"/>
    <x v="0"/>
    <n v="33"/>
    <s v="Pune"/>
    <x v="4"/>
    <s v="Auditor"/>
    <s v="Bachelors"/>
    <n v="2"/>
    <n v="125527"/>
    <n v="93.96"/>
    <n v="3"/>
    <n v="48"/>
    <n v="64"/>
    <s v="Medium"/>
    <x v="340"/>
    <x v="0"/>
  </r>
  <r>
    <x v="576"/>
    <x v="574"/>
    <x v="1"/>
    <n v="56"/>
    <s v="Bangalore"/>
    <x v="0"/>
    <s v="Recruiter"/>
    <s v="Diploma"/>
    <n v="11"/>
    <n v="62162"/>
    <n v="75.63"/>
    <n v="6"/>
    <n v="46"/>
    <n v="83"/>
    <s v="Low"/>
    <x v="183"/>
    <x v="0"/>
  </r>
  <r>
    <x v="577"/>
    <x v="575"/>
    <x v="0"/>
    <n v="46"/>
    <s v="Hyderabad"/>
    <x v="0"/>
    <s v="HR Executive"/>
    <s v="MBA"/>
    <n v="23"/>
    <n v="91766"/>
    <n v="67.03"/>
    <n v="18"/>
    <n v="46"/>
    <n v="83"/>
    <s v="Low"/>
    <x v="57"/>
    <x v="0"/>
  </r>
  <r>
    <x v="578"/>
    <x v="576"/>
    <x v="0"/>
    <n v="58"/>
    <s v="Bangalore"/>
    <x v="1"/>
    <s v="Business Development Executive"/>
    <s v="MBA"/>
    <n v="32"/>
    <n v="53461"/>
    <n v="92.27"/>
    <n v="4"/>
    <n v="35"/>
    <n v="50"/>
    <s v="High"/>
    <x v="341"/>
    <x v="0"/>
  </r>
  <r>
    <x v="579"/>
    <x v="577"/>
    <x v="1"/>
    <n v="55"/>
    <s v="Delhi"/>
    <x v="4"/>
    <s v="Auditor"/>
    <s v="MBA"/>
    <n v="12"/>
    <n v="68152"/>
    <n v="88.79"/>
    <n v="10"/>
    <n v="32"/>
    <n v="61"/>
    <s v="Medium"/>
    <x v="78"/>
    <x v="0"/>
  </r>
  <r>
    <x v="580"/>
    <x v="578"/>
    <x v="1"/>
    <n v="54"/>
    <s v="Mumbai"/>
    <x v="4"/>
    <s v="Financial Analyst"/>
    <s v="MBA"/>
    <n v="0"/>
    <n v="96928"/>
    <n v="78.89"/>
    <n v="1"/>
    <n v="16"/>
    <n v="43"/>
    <s v="Low"/>
    <x v="342"/>
    <x v="0"/>
  </r>
  <r>
    <x v="581"/>
    <x v="579"/>
    <x v="0"/>
    <n v="40"/>
    <s v="Mumbai"/>
    <x v="2"/>
    <s v="Data Analyst"/>
    <s v="Diploma"/>
    <n v="3"/>
    <n v="109983"/>
    <n v="73.05"/>
    <n v="5"/>
    <n v="44"/>
    <n v="97"/>
    <s v="Medium"/>
    <x v="343"/>
    <x v="0"/>
  </r>
  <r>
    <x v="582"/>
    <x v="580"/>
    <x v="0"/>
    <n v="27"/>
    <s v="Bangalore"/>
    <x v="4"/>
    <s v="Financial Analyst"/>
    <s v="Bachelors"/>
    <n v="3"/>
    <n v="103366"/>
    <n v="93.99"/>
    <n v="7"/>
    <n v="57"/>
    <n v="114"/>
    <s v="Low"/>
    <x v="210"/>
    <x v="0"/>
  </r>
  <r>
    <x v="583"/>
    <x v="581"/>
    <x v="1"/>
    <n v="39"/>
    <s v="Bangalore"/>
    <x v="5"/>
    <s v="SEO Analyst"/>
    <s v="Bachelors"/>
    <n v="9"/>
    <n v="121564"/>
    <n v="68.52"/>
    <n v="14"/>
    <n v="6"/>
    <n v="51"/>
    <s v="Medium"/>
    <x v="115"/>
    <x v="0"/>
  </r>
  <r>
    <x v="584"/>
    <x v="582"/>
    <x v="0"/>
    <n v="41"/>
    <s v="Chennai"/>
    <x v="3"/>
    <s v="Operations Executive"/>
    <s v="MBA"/>
    <n v="5"/>
    <n v="58359"/>
    <n v="78.930000000000007"/>
    <n v="20"/>
    <n v="57"/>
    <n v="66"/>
    <s v="High"/>
    <x v="237"/>
    <x v="1"/>
  </r>
  <r>
    <x v="585"/>
    <x v="583"/>
    <x v="0"/>
    <n v="40"/>
    <s v="Bangalore"/>
    <x v="2"/>
    <s v="DevOps Engineer"/>
    <s v="Masters"/>
    <n v="6"/>
    <n v="147862"/>
    <n v="85.42"/>
    <n v="19"/>
    <n v="58"/>
    <n v="18"/>
    <s v="High"/>
    <x v="314"/>
    <x v="0"/>
  </r>
  <r>
    <x v="586"/>
    <x v="584"/>
    <x v="0"/>
    <n v="42"/>
    <s v="Mumbai"/>
    <x v="3"/>
    <s v="Coordinator"/>
    <s v="MBA"/>
    <n v="12"/>
    <n v="58595"/>
    <n v="78.67"/>
    <n v="18"/>
    <n v="23"/>
    <n v="103"/>
    <s v="High"/>
    <x v="96"/>
    <x v="1"/>
  </r>
  <r>
    <x v="587"/>
    <x v="585"/>
    <x v="0"/>
    <n v="30"/>
    <s v="Hyderabad"/>
    <x v="2"/>
    <s v="DevOps Engineer"/>
    <s v="Masters"/>
    <n v="5"/>
    <n v="125755"/>
    <n v="99.22"/>
    <n v="19"/>
    <n v="4"/>
    <n v="52"/>
    <s v="Low"/>
    <x v="344"/>
    <x v="0"/>
  </r>
  <r>
    <x v="588"/>
    <x v="586"/>
    <x v="1"/>
    <n v="58"/>
    <s v="Mumbai"/>
    <x v="0"/>
    <s v="HR Executive"/>
    <s v="Bachelors"/>
    <n v="35"/>
    <n v="82597"/>
    <n v="70.69"/>
    <n v="15"/>
    <n v="51"/>
    <n v="102"/>
    <s v="Medium"/>
    <x v="56"/>
    <x v="1"/>
  </r>
  <r>
    <x v="589"/>
    <x v="587"/>
    <x v="0"/>
    <n v="47"/>
    <s v="Mumbai"/>
    <x v="1"/>
    <s v="Business Development Executive"/>
    <s v="Masters"/>
    <n v="19"/>
    <n v="95418"/>
    <n v="75.180000000000007"/>
    <n v="13"/>
    <n v="21"/>
    <n v="42"/>
    <s v="High"/>
    <x v="310"/>
    <x v="0"/>
  </r>
  <r>
    <x v="590"/>
    <x v="588"/>
    <x v="1"/>
    <n v="47"/>
    <s v="Delhi"/>
    <x v="3"/>
    <s v="Supervisor"/>
    <s v="Bachelors"/>
    <n v="6"/>
    <n v="118811"/>
    <n v="88.28"/>
    <n v="19"/>
    <n v="59"/>
    <n v="92"/>
    <s v="Low"/>
    <x v="95"/>
    <x v="0"/>
  </r>
  <r>
    <x v="591"/>
    <x v="589"/>
    <x v="0"/>
    <n v="30"/>
    <s v="Mumbai"/>
    <x v="3"/>
    <s v="Supervisor"/>
    <s v="Bachelors"/>
    <n v="6"/>
    <n v="46984"/>
    <n v="72.349999999999994"/>
    <n v="3"/>
    <n v="24"/>
    <n v="59"/>
    <s v="High"/>
    <x v="309"/>
    <x v="0"/>
  </r>
  <r>
    <x v="592"/>
    <x v="590"/>
    <x v="1"/>
    <n v="48"/>
    <s v="Mumbai"/>
    <x v="3"/>
    <s v="Operations Executive"/>
    <s v="Bachelors"/>
    <n v="26"/>
    <n v="54385"/>
    <n v="77.25"/>
    <n v="20"/>
    <n v="40"/>
    <n v="110"/>
    <s v="Low"/>
    <x v="56"/>
    <x v="1"/>
  </r>
  <r>
    <x v="593"/>
    <x v="591"/>
    <x v="0"/>
    <n v="50"/>
    <s v="Pune"/>
    <x v="2"/>
    <s v="Data Analyst"/>
    <s v="Bachelors"/>
    <n v="4"/>
    <n v="178751"/>
    <n v="98.87"/>
    <n v="8"/>
    <n v="4"/>
    <n v="100"/>
    <s v="Medium"/>
    <x v="225"/>
    <x v="0"/>
  </r>
  <r>
    <x v="594"/>
    <x v="592"/>
    <x v="0"/>
    <n v="27"/>
    <s v="Pune"/>
    <x v="5"/>
    <s v="SEO Analyst"/>
    <s v="Bachelors"/>
    <n v="4"/>
    <n v="125653"/>
    <n v="85.59"/>
    <n v="11"/>
    <n v="25"/>
    <n v="23"/>
    <s v="High"/>
    <x v="124"/>
    <x v="0"/>
  </r>
  <r>
    <x v="595"/>
    <x v="593"/>
    <x v="0"/>
    <n v="35"/>
    <s v="Pune"/>
    <x v="0"/>
    <s v="Recruiter"/>
    <s v="Bachelors"/>
    <n v="5"/>
    <n v="61286"/>
    <n v="79.900000000000006"/>
    <n v="10"/>
    <n v="59"/>
    <n v="60"/>
    <s v="Medium"/>
    <x v="172"/>
    <x v="0"/>
  </r>
  <r>
    <x v="596"/>
    <x v="594"/>
    <x v="1"/>
    <n v="45"/>
    <s v="Bangalore"/>
    <x v="0"/>
    <s v="HR Manager"/>
    <s v="Masters"/>
    <n v="15"/>
    <n v="94947"/>
    <n v="77.819999999999993"/>
    <n v="4"/>
    <n v="35"/>
    <n v="22"/>
    <s v="Low"/>
    <x v="345"/>
    <x v="0"/>
  </r>
  <r>
    <x v="597"/>
    <x v="595"/>
    <x v="1"/>
    <n v="42"/>
    <s v="Chennai"/>
    <x v="0"/>
    <s v="HR Executive"/>
    <s v="MBA"/>
    <n v="10"/>
    <n v="75434"/>
    <n v="74.739999999999995"/>
    <n v="2"/>
    <n v="31"/>
    <n v="70"/>
    <s v="Medium"/>
    <x v="10"/>
    <x v="0"/>
  </r>
  <r>
    <x v="598"/>
    <x v="596"/>
    <x v="0"/>
    <n v="41"/>
    <s v="Mumbai"/>
    <x v="2"/>
    <s v="System Admin"/>
    <s v="Masters"/>
    <n v="11"/>
    <n v="153152"/>
    <n v="66.2"/>
    <n v="2"/>
    <n v="0"/>
    <n v="18"/>
    <s v="High"/>
    <x v="346"/>
    <x v="0"/>
  </r>
  <r>
    <x v="599"/>
    <x v="597"/>
    <x v="1"/>
    <n v="45"/>
    <s v="Hyderabad"/>
    <x v="1"/>
    <s v="Sales Executive"/>
    <s v="MBA"/>
    <n v="24"/>
    <n v="132140"/>
    <n v="80.61"/>
    <n v="12"/>
    <n v="11"/>
    <n v="33"/>
    <s v="High"/>
    <x v="192"/>
    <x v="0"/>
  </r>
  <r>
    <x v="600"/>
    <x v="598"/>
    <x v="0"/>
    <n v="36"/>
    <s v="Chennai"/>
    <x v="0"/>
    <s v="Recruiter"/>
    <s v="Bachelors"/>
    <n v="6"/>
    <n v="69681"/>
    <n v="96.52"/>
    <n v="16"/>
    <n v="44"/>
    <n v="56"/>
    <s v="High"/>
    <x v="269"/>
    <x v="0"/>
  </r>
  <r>
    <x v="601"/>
    <x v="599"/>
    <x v="1"/>
    <n v="30"/>
    <s v="Delhi"/>
    <x v="3"/>
    <s v="Supervisor"/>
    <s v="Bachelors"/>
    <n v="3"/>
    <n v="93954"/>
    <n v="91.56"/>
    <n v="2"/>
    <n v="31"/>
    <n v="90"/>
    <s v="Medium"/>
    <x v="347"/>
    <x v="0"/>
  </r>
  <r>
    <x v="602"/>
    <x v="600"/>
    <x v="0"/>
    <n v="50"/>
    <s v="Chennai"/>
    <x v="1"/>
    <s v="Business Development Executive"/>
    <s v="Masters"/>
    <n v="9"/>
    <n v="103902"/>
    <n v="76.45"/>
    <n v="17"/>
    <n v="5"/>
    <n v="89"/>
    <s v="High"/>
    <x v="65"/>
    <x v="0"/>
  </r>
  <r>
    <x v="603"/>
    <x v="601"/>
    <x v="1"/>
    <n v="47"/>
    <s v="Delhi"/>
    <x v="1"/>
    <s v="Sales Executive"/>
    <s v="Bachelors"/>
    <n v="14"/>
    <n v="146675"/>
    <n v="73.13"/>
    <n v="2"/>
    <n v="55"/>
    <n v="13"/>
    <s v="High"/>
    <x v="348"/>
    <x v="0"/>
  </r>
  <r>
    <x v="604"/>
    <x v="602"/>
    <x v="1"/>
    <n v="22"/>
    <s v="Mumbai"/>
    <x v="4"/>
    <s v="Auditor"/>
    <s v="MBA"/>
    <n v="1"/>
    <n v="119494"/>
    <n v="91.3"/>
    <n v="1"/>
    <n v="28"/>
    <n v="26"/>
    <s v="Low"/>
    <x v="349"/>
    <x v="0"/>
  </r>
  <r>
    <x v="605"/>
    <x v="603"/>
    <x v="1"/>
    <n v="28"/>
    <s v="Hyderabad"/>
    <x v="4"/>
    <s v="Accountant"/>
    <s v="Masters"/>
    <n v="7"/>
    <n v="55689"/>
    <n v="81.819999999999993"/>
    <n v="13"/>
    <n v="38"/>
    <n v="77"/>
    <s v="High"/>
    <x v="191"/>
    <x v="0"/>
  </r>
  <r>
    <x v="606"/>
    <x v="604"/>
    <x v="0"/>
    <n v="45"/>
    <s v="Pune"/>
    <x v="0"/>
    <s v="HR Executive"/>
    <s v="Diploma"/>
    <n v="22"/>
    <n v="59854"/>
    <n v="74.5"/>
    <n v="4"/>
    <n v="37"/>
    <n v="8"/>
    <s v="Low"/>
    <x v="294"/>
    <x v="0"/>
  </r>
  <r>
    <x v="607"/>
    <x v="605"/>
    <x v="1"/>
    <n v="48"/>
    <s v="Mumbai"/>
    <x v="1"/>
    <s v="Business Development Executive"/>
    <s v="Masters"/>
    <n v="26"/>
    <n v="107075"/>
    <n v="99.89"/>
    <n v="6"/>
    <n v="19"/>
    <n v="114"/>
    <s v="Medium"/>
    <x v="326"/>
    <x v="1"/>
  </r>
  <r>
    <x v="608"/>
    <x v="606"/>
    <x v="0"/>
    <n v="40"/>
    <s v="Pune"/>
    <x v="5"/>
    <s v="SEO Analyst"/>
    <s v="Masters"/>
    <n v="3"/>
    <n v="133228"/>
    <n v="66.569999999999993"/>
    <n v="13"/>
    <n v="52"/>
    <n v="52"/>
    <s v="Low"/>
    <x v="32"/>
    <x v="0"/>
  </r>
  <r>
    <x v="609"/>
    <x v="607"/>
    <x v="0"/>
    <n v="50"/>
    <s v="Hyderabad"/>
    <x v="3"/>
    <s v="Operations Executive"/>
    <s v="Bachelors"/>
    <n v="14"/>
    <n v="39020"/>
    <n v="92.43"/>
    <n v="16"/>
    <n v="47"/>
    <n v="48"/>
    <s v="Low"/>
    <x v="269"/>
    <x v="0"/>
  </r>
  <r>
    <x v="610"/>
    <x v="608"/>
    <x v="0"/>
    <n v="54"/>
    <s v="Delhi"/>
    <x v="0"/>
    <s v="HR Manager"/>
    <s v="MBA"/>
    <n v="23"/>
    <n v="81483"/>
    <n v="80.08"/>
    <n v="16"/>
    <n v="51"/>
    <n v="54"/>
    <s v="High"/>
    <x v="11"/>
    <x v="0"/>
  </r>
  <r>
    <x v="611"/>
    <x v="609"/>
    <x v="1"/>
    <n v="56"/>
    <s v="Mumbai"/>
    <x v="0"/>
    <s v="HR Manager"/>
    <s v="MBA"/>
    <n v="12"/>
    <n v="58180"/>
    <n v="69.56"/>
    <n v="8"/>
    <n v="49"/>
    <n v="94"/>
    <s v="Medium"/>
    <x v="115"/>
    <x v="0"/>
  </r>
  <r>
    <x v="612"/>
    <x v="610"/>
    <x v="1"/>
    <n v="47"/>
    <s v="Hyderabad"/>
    <x v="0"/>
    <s v="HR Executive"/>
    <s v="Masters"/>
    <n v="20"/>
    <n v="55207"/>
    <n v="69.48"/>
    <n v="8"/>
    <n v="51"/>
    <n v="57"/>
    <s v="Medium"/>
    <x v="161"/>
    <x v="0"/>
  </r>
  <r>
    <x v="613"/>
    <x v="611"/>
    <x v="0"/>
    <n v="57"/>
    <s v="Hyderabad"/>
    <x v="2"/>
    <s v="Data Analyst"/>
    <s v="Diploma"/>
    <n v="33"/>
    <n v="72023"/>
    <n v="80.22"/>
    <n v="15"/>
    <n v="47"/>
    <n v="113"/>
    <s v="Medium"/>
    <x v="56"/>
    <x v="1"/>
  </r>
  <r>
    <x v="614"/>
    <x v="612"/>
    <x v="1"/>
    <n v="29"/>
    <s v="Mumbai"/>
    <x v="0"/>
    <s v="HR Manager"/>
    <s v="Masters"/>
    <n v="6"/>
    <n v="61382"/>
    <n v="88.37"/>
    <n v="9"/>
    <n v="44"/>
    <n v="29"/>
    <s v="Medium"/>
    <x v="125"/>
    <x v="0"/>
  </r>
  <r>
    <x v="615"/>
    <x v="613"/>
    <x v="0"/>
    <n v="24"/>
    <s v="Hyderabad"/>
    <x v="3"/>
    <s v="Operations Executive"/>
    <s v="MBA"/>
    <n v="2"/>
    <n v="77471"/>
    <n v="73.59"/>
    <n v="3"/>
    <n v="27"/>
    <n v="115"/>
    <s v="Medium"/>
    <x v="192"/>
    <x v="0"/>
  </r>
  <r>
    <x v="616"/>
    <x v="614"/>
    <x v="0"/>
    <n v="28"/>
    <s v="Bangalore"/>
    <x v="5"/>
    <s v="Content Strategist"/>
    <s v="Bachelors"/>
    <n v="5"/>
    <n v="70818"/>
    <n v="99"/>
    <n v="19"/>
    <n v="43"/>
    <n v="95"/>
    <s v="Medium"/>
    <x v="350"/>
    <x v="1"/>
  </r>
  <r>
    <x v="617"/>
    <x v="615"/>
    <x v="1"/>
    <n v="24"/>
    <s v="Bangalore"/>
    <x v="2"/>
    <s v="DevOps Engineer"/>
    <s v="Bachelors"/>
    <n v="0"/>
    <n v="133780"/>
    <n v="84.36"/>
    <n v="6"/>
    <n v="45"/>
    <n v="45"/>
    <s v="High"/>
    <x v="143"/>
    <x v="0"/>
  </r>
  <r>
    <x v="618"/>
    <x v="616"/>
    <x v="0"/>
    <n v="50"/>
    <s v="Mumbai"/>
    <x v="4"/>
    <s v="Financial Analyst"/>
    <s v="MBA"/>
    <n v="18"/>
    <n v="95647"/>
    <n v="79.8"/>
    <n v="17"/>
    <n v="12"/>
    <n v="115"/>
    <s v="Medium"/>
    <x v="351"/>
    <x v="1"/>
  </r>
  <r>
    <x v="619"/>
    <x v="617"/>
    <x v="0"/>
    <n v="23"/>
    <s v="Hyderabad"/>
    <x v="5"/>
    <s v="SEO Analyst"/>
    <s v="MBA"/>
    <n v="1"/>
    <n v="88831"/>
    <n v="76.12"/>
    <n v="6"/>
    <n v="46"/>
    <n v="80"/>
    <s v="High"/>
    <x v="60"/>
    <x v="0"/>
  </r>
  <r>
    <x v="620"/>
    <x v="618"/>
    <x v="0"/>
    <n v="48"/>
    <s v="Pune"/>
    <x v="3"/>
    <s v="Supervisor"/>
    <s v="Masters"/>
    <n v="23"/>
    <n v="76506"/>
    <n v="97.96"/>
    <n v="4"/>
    <n v="21"/>
    <n v="59"/>
    <s v="Medium"/>
    <x v="36"/>
    <x v="0"/>
  </r>
  <r>
    <x v="621"/>
    <x v="619"/>
    <x v="0"/>
    <n v="22"/>
    <s v="Mumbai"/>
    <x v="1"/>
    <s v="Sales Manager"/>
    <s v="Diploma"/>
    <n v="1"/>
    <n v="128042"/>
    <n v="83.62"/>
    <n v="2"/>
    <n v="11"/>
    <n v="116"/>
    <s v="Medium"/>
    <x v="336"/>
    <x v="0"/>
  </r>
  <r>
    <x v="622"/>
    <x v="620"/>
    <x v="0"/>
    <n v="52"/>
    <s v="Mumbai"/>
    <x v="2"/>
    <s v="Software Engineer"/>
    <s v="Masters"/>
    <n v="19"/>
    <n v="113813"/>
    <n v="90.67"/>
    <n v="9"/>
    <n v="4"/>
    <n v="103"/>
    <s v="High"/>
    <x v="118"/>
    <x v="1"/>
  </r>
  <r>
    <x v="623"/>
    <x v="621"/>
    <x v="0"/>
    <n v="33"/>
    <s v="Bangalore"/>
    <x v="0"/>
    <s v="HR Manager"/>
    <s v="Masters"/>
    <n v="6"/>
    <n v="79454"/>
    <n v="99.17"/>
    <n v="16"/>
    <n v="58"/>
    <n v="25"/>
    <s v="Medium"/>
    <x v="297"/>
    <x v="0"/>
  </r>
  <r>
    <x v="624"/>
    <x v="622"/>
    <x v="0"/>
    <n v="23"/>
    <s v="Delhi"/>
    <x v="2"/>
    <s v="System Admin"/>
    <s v="MBA"/>
    <n v="2"/>
    <n v="93890"/>
    <n v="69.13"/>
    <n v="11"/>
    <n v="33"/>
    <n v="57"/>
    <s v="Medium"/>
    <x v="250"/>
    <x v="0"/>
  </r>
  <r>
    <x v="625"/>
    <x v="623"/>
    <x v="0"/>
    <n v="29"/>
    <s v="Delhi"/>
    <x v="0"/>
    <s v="Recruiter"/>
    <s v="MBA"/>
    <n v="2"/>
    <n v="82828"/>
    <n v="65.63"/>
    <n v="4"/>
    <n v="24"/>
    <n v="108"/>
    <s v="Low"/>
    <x v="108"/>
    <x v="0"/>
  </r>
  <r>
    <x v="626"/>
    <x v="624"/>
    <x v="1"/>
    <n v="44"/>
    <s v="Pune"/>
    <x v="5"/>
    <s v="Marketing Executive"/>
    <s v="Bachelors"/>
    <n v="4"/>
    <n v="57404"/>
    <n v="71.02"/>
    <n v="3"/>
    <n v="16"/>
    <n v="105"/>
    <s v="High"/>
    <x v="171"/>
    <x v="0"/>
  </r>
  <r>
    <x v="627"/>
    <x v="625"/>
    <x v="0"/>
    <n v="34"/>
    <s v="Hyderabad"/>
    <x v="4"/>
    <s v="Auditor"/>
    <s v="Bachelors"/>
    <n v="8"/>
    <n v="107827"/>
    <n v="68"/>
    <n v="16"/>
    <n v="56"/>
    <n v="8"/>
    <s v="Medium"/>
    <x v="352"/>
    <x v="0"/>
  </r>
  <r>
    <x v="628"/>
    <x v="626"/>
    <x v="1"/>
    <n v="55"/>
    <s v="Bangalore"/>
    <x v="5"/>
    <s v="SEO Analyst"/>
    <s v="Bachelors"/>
    <n v="10"/>
    <n v="111753"/>
    <n v="79.94"/>
    <n v="17"/>
    <n v="29"/>
    <n v="13"/>
    <s v="Low"/>
    <x v="353"/>
    <x v="0"/>
  </r>
  <r>
    <x v="629"/>
    <x v="627"/>
    <x v="1"/>
    <n v="31"/>
    <s v="Pune"/>
    <x v="1"/>
    <s v="Business Development Executive"/>
    <s v="Bachelors"/>
    <n v="0"/>
    <n v="122932"/>
    <n v="85.22"/>
    <n v="12"/>
    <n v="14"/>
    <n v="83"/>
    <s v="High"/>
    <x v="354"/>
    <x v="0"/>
  </r>
  <r>
    <x v="630"/>
    <x v="628"/>
    <x v="0"/>
    <n v="36"/>
    <s v="Chennai"/>
    <x v="0"/>
    <s v="HR Executive"/>
    <s v="MBA"/>
    <n v="6"/>
    <n v="60721"/>
    <n v="73.56"/>
    <n v="16"/>
    <n v="53"/>
    <n v="47"/>
    <s v="High"/>
    <x v="355"/>
    <x v="0"/>
  </r>
  <r>
    <x v="631"/>
    <x v="629"/>
    <x v="1"/>
    <n v="45"/>
    <s v="Delhi"/>
    <x v="5"/>
    <s v="Content Strategist"/>
    <s v="Bachelors"/>
    <n v="2"/>
    <n v="51852"/>
    <n v="78.17"/>
    <n v="16"/>
    <n v="55"/>
    <n v="110"/>
    <s v="High"/>
    <x v="78"/>
    <x v="0"/>
  </r>
  <r>
    <x v="632"/>
    <x v="630"/>
    <x v="1"/>
    <n v="39"/>
    <s v="Chennai"/>
    <x v="2"/>
    <s v="DevOps Engineer"/>
    <s v="MBA"/>
    <n v="8"/>
    <n v="150376"/>
    <n v="71.680000000000007"/>
    <n v="19"/>
    <n v="52"/>
    <n v="56"/>
    <s v="Low"/>
    <x v="129"/>
    <x v="0"/>
  </r>
  <r>
    <x v="633"/>
    <x v="631"/>
    <x v="1"/>
    <n v="28"/>
    <s v="Chennai"/>
    <x v="0"/>
    <s v="HR Manager"/>
    <s v="Diploma"/>
    <n v="2"/>
    <n v="68670"/>
    <n v="80.180000000000007"/>
    <n v="5"/>
    <n v="44"/>
    <n v="45"/>
    <s v="Medium"/>
    <x v="356"/>
    <x v="0"/>
  </r>
  <r>
    <x v="634"/>
    <x v="632"/>
    <x v="0"/>
    <n v="23"/>
    <s v="Pune"/>
    <x v="1"/>
    <s v="Sales Executive"/>
    <s v="Diploma"/>
    <n v="1"/>
    <n v="122006"/>
    <n v="95.14"/>
    <n v="7"/>
    <n v="42"/>
    <n v="118"/>
    <s v="High"/>
    <x v="152"/>
    <x v="0"/>
  </r>
  <r>
    <x v="635"/>
    <x v="633"/>
    <x v="1"/>
    <n v="44"/>
    <s v="Hyderabad"/>
    <x v="2"/>
    <s v="Software Engineer"/>
    <s v="Bachelors"/>
    <n v="2"/>
    <n v="148858"/>
    <n v="67.92"/>
    <n v="11"/>
    <n v="8"/>
    <n v="44"/>
    <s v="High"/>
    <x v="9"/>
    <x v="0"/>
  </r>
  <r>
    <x v="636"/>
    <x v="634"/>
    <x v="1"/>
    <n v="37"/>
    <s v="Bangalore"/>
    <x v="5"/>
    <s v="SEO Analyst"/>
    <s v="Diploma"/>
    <n v="10"/>
    <n v="91003"/>
    <n v="96.31"/>
    <n v="8"/>
    <n v="57"/>
    <n v="45"/>
    <s v="Medium"/>
    <x v="116"/>
    <x v="0"/>
  </r>
  <r>
    <x v="637"/>
    <x v="635"/>
    <x v="1"/>
    <n v="49"/>
    <s v="Hyderabad"/>
    <x v="1"/>
    <s v="Sales Executive"/>
    <s v="MBA"/>
    <n v="11"/>
    <n v="48716"/>
    <n v="96.87"/>
    <n v="19"/>
    <n v="4"/>
    <n v="5"/>
    <s v="Medium"/>
    <x v="178"/>
    <x v="0"/>
  </r>
  <r>
    <x v="638"/>
    <x v="636"/>
    <x v="1"/>
    <n v="25"/>
    <s v="Bangalore"/>
    <x v="4"/>
    <s v="Auditor"/>
    <s v="Bachelors"/>
    <n v="1"/>
    <n v="102425"/>
    <n v="98.68"/>
    <n v="1"/>
    <n v="26"/>
    <n v="18"/>
    <s v="Low"/>
    <x v="164"/>
    <x v="0"/>
  </r>
  <r>
    <x v="639"/>
    <x v="637"/>
    <x v="0"/>
    <n v="29"/>
    <s v="Hyderabad"/>
    <x v="0"/>
    <s v="Recruiter"/>
    <s v="Diploma"/>
    <n v="3"/>
    <n v="81208"/>
    <n v="78.69"/>
    <n v="19"/>
    <n v="54"/>
    <n v="100"/>
    <s v="High"/>
    <x v="357"/>
    <x v="1"/>
  </r>
  <r>
    <x v="640"/>
    <x v="638"/>
    <x v="1"/>
    <n v="47"/>
    <s v="Delhi"/>
    <x v="3"/>
    <s v="Coordinator"/>
    <s v="Masters"/>
    <n v="20"/>
    <n v="71336"/>
    <n v="82.38"/>
    <n v="19"/>
    <n v="1"/>
    <n v="70"/>
    <s v="Medium"/>
    <x v="56"/>
    <x v="1"/>
  </r>
  <r>
    <x v="641"/>
    <x v="639"/>
    <x v="0"/>
    <n v="58"/>
    <s v="Bangalore"/>
    <x v="2"/>
    <s v="Software Engineer"/>
    <s v="Bachelors"/>
    <n v="4"/>
    <n v="162081"/>
    <n v="92.95"/>
    <n v="14"/>
    <n v="16"/>
    <n v="41"/>
    <s v="High"/>
    <x v="150"/>
    <x v="0"/>
  </r>
  <r>
    <x v="642"/>
    <x v="640"/>
    <x v="1"/>
    <n v="41"/>
    <s v="Bangalore"/>
    <x v="5"/>
    <s v="SEO Analyst"/>
    <s v="Masters"/>
    <n v="7"/>
    <n v="80168"/>
    <n v="99.17"/>
    <n v="15"/>
    <n v="22"/>
    <n v="65"/>
    <s v="Low"/>
    <x v="358"/>
    <x v="1"/>
  </r>
  <r>
    <x v="643"/>
    <x v="641"/>
    <x v="1"/>
    <n v="32"/>
    <s v="Mumbai"/>
    <x v="1"/>
    <s v="Business Development Executive"/>
    <s v="Masters"/>
    <n v="1"/>
    <n v="58903"/>
    <n v="67.19"/>
    <n v="14"/>
    <n v="27"/>
    <n v="75"/>
    <s v="Low"/>
    <x v="29"/>
    <x v="0"/>
  </r>
  <r>
    <x v="644"/>
    <x v="642"/>
    <x v="0"/>
    <n v="58"/>
    <s v="Pune"/>
    <x v="0"/>
    <s v="Recruiter"/>
    <s v="MBA"/>
    <n v="25"/>
    <n v="51550"/>
    <n v="69.28"/>
    <n v="19"/>
    <n v="0"/>
    <n v="89"/>
    <s v="High"/>
    <x v="56"/>
    <x v="1"/>
  </r>
  <r>
    <x v="645"/>
    <x v="643"/>
    <x v="0"/>
    <n v="47"/>
    <s v="Bangalore"/>
    <x v="0"/>
    <s v="Recruiter"/>
    <s v="MBA"/>
    <n v="14"/>
    <n v="56208"/>
    <n v="97.18"/>
    <n v="13"/>
    <n v="33"/>
    <n v="106"/>
    <s v="Medium"/>
    <x v="56"/>
    <x v="1"/>
  </r>
  <r>
    <x v="646"/>
    <x v="644"/>
    <x v="1"/>
    <n v="50"/>
    <s v="Delhi"/>
    <x v="4"/>
    <s v="Financial Analyst"/>
    <s v="Bachelors"/>
    <n v="24"/>
    <n v="58216"/>
    <n v="72.98"/>
    <n v="17"/>
    <n v="40"/>
    <n v="80"/>
    <s v="Medium"/>
    <x v="359"/>
    <x v="1"/>
  </r>
  <r>
    <x v="647"/>
    <x v="645"/>
    <x v="1"/>
    <n v="45"/>
    <s v="Chennai"/>
    <x v="4"/>
    <s v="Auditor"/>
    <s v="MBA"/>
    <n v="3"/>
    <n v="157576"/>
    <n v="69.56"/>
    <n v="7"/>
    <n v="50"/>
    <n v="41"/>
    <s v="Low"/>
    <x v="360"/>
    <x v="0"/>
  </r>
  <r>
    <x v="648"/>
    <x v="646"/>
    <x v="0"/>
    <n v="54"/>
    <s v="Chennai"/>
    <x v="5"/>
    <s v="SEO Analyst"/>
    <s v="MBA"/>
    <n v="13"/>
    <n v="84062"/>
    <n v="80.56"/>
    <n v="10"/>
    <n v="56"/>
    <n v="40"/>
    <s v="Medium"/>
    <x v="361"/>
    <x v="0"/>
  </r>
  <r>
    <x v="649"/>
    <x v="647"/>
    <x v="0"/>
    <n v="29"/>
    <s v="Mumbai"/>
    <x v="0"/>
    <s v="HR Executive"/>
    <s v="Masters"/>
    <n v="6"/>
    <n v="88888"/>
    <n v="71.31"/>
    <n v="15"/>
    <n v="0"/>
    <n v="29"/>
    <s v="High"/>
    <x v="168"/>
    <x v="0"/>
  </r>
  <r>
    <x v="650"/>
    <x v="648"/>
    <x v="1"/>
    <n v="23"/>
    <s v="Pune"/>
    <x v="5"/>
    <s v="SEO Analyst"/>
    <s v="Masters"/>
    <n v="1"/>
    <n v="109861"/>
    <n v="96.55"/>
    <n v="15"/>
    <n v="22"/>
    <n v="9"/>
    <s v="Low"/>
    <x v="79"/>
    <x v="0"/>
  </r>
  <r>
    <x v="651"/>
    <x v="649"/>
    <x v="0"/>
    <n v="25"/>
    <s v="Pune"/>
    <x v="2"/>
    <s v="DevOps Engineer"/>
    <s v="MBA"/>
    <n v="4"/>
    <n v="72434"/>
    <n v="83.22"/>
    <n v="16"/>
    <n v="5"/>
    <n v="37"/>
    <s v="High"/>
    <x v="362"/>
    <x v="0"/>
  </r>
  <r>
    <x v="652"/>
    <x v="650"/>
    <x v="0"/>
    <n v="53"/>
    <s v="Chennai"/>
    <x v="3"/>
    <s v="Operations Executive"/>
    <s v="Bachelors"/>
    <n v="3"/>
    <n v="110613"/>
    <n v="78.17"/>
    <n v="4"/>
    <n v="51"/>
    <n v="55"/>
    <s v="Medium"/>
    <x v="312"/>
    <x v="0"/>
  </r>
  <r>
    <x v="653"/>
    <x v="651"/>
    <x v="1"/>
    <n v="22"/>
    <s v="Mumbai"/>
    <x v="4"/>
    <s v="Auditor"/>
    <s v="Masters"/>
    <n v="1"/>
    <n v="103561"/>
    <n v="65.92"/>
    <n v="6"/>
    <n v="19"/>
    <n v="34"/>
    <s v="High"/>
    <x v="363"/>
    <x v="0"/>
  </r>
  <r>
    <x v="654"/>
    <x v="652"/>
    <x v="1"/>
    <n v="57"/>
    <s v="Chennai"/>
    <x v="1"/>
    <s v="Business Development Executive"/>
    <s v="Masters"/>
    <n v="4"/>
    <n v="93539"/>
    <n v="88.68"/>
    <n v="15"/>
    <n v="6"/>
    <n v="15"/>
    <s v="High"/>
    <x v="300"/>
    <x v="0"/>
  </r>
  <r>
    <x v="655"/>
    <x v="653"/>
    <x v="1"/>
    <n v="48"/>
    <s v="Bangalore"/>
    <x v="4"/>
    <s v="Auditor"/>
    <s v="MBA"/>
    <n v="22"/>
    <n v="93767"/>
    <n v="66.08"/>
    <n v="18"/>
    <n v="21"/>
    <n v="5"/>
    <s v="Medium"/>
    <x v="116"/>
    <x v="0"/>
  </r>
  <r>
    <x v="656"/>
    <x v="654"/>
    <x v="0"/>
    <n v="42"/>
    <s v="Pune"/>
    <x v="0"/>
    <s v="Recruiter"/>
    <s v="Bachelors"/>
    <n v="6"/>
    <n v="74959"/>
    <n v="65.5"/>
    <n v="10"/>
    <n v="55"/>
    <n v="24"/>
    <s v="High"/>
    <x v="364"/>
    <x v="0"/>
  </r>
  <r>
    <x v="657"/>
    <x v="655"/>
    <x v="1"/>
    <n v="41"/>
    <s v="Hyderabad"/>
    <x v="4"/>
    <s v="Auditor"/>
    <s v="MBA"/>
    <n v="8"/>
    <n v="159095"/>
    <n v="77.349999999999994"/>
    <n v="3"/>
    <n v="44"/>
    <n v="21"/>
    <s v="Medium"/>
    <x v="365"/>
    <x v="0"/>
  </r>
  <r>
    <x v="658"/>
    <x v="656"/>
    <x v="0"/>
    <n v="47"/>
    <s v="Delhi"/>
    <x v="0"/>
    <s v="Recruiter"/>
    <s v="Masters"/>
    <n v="22"/>
    <n v="42381"/>
    <n v="69.760000000000005"/>
    <n v="3"/>
    <n v="2"/>
    <n v="113"/>
    <s v="Low"/>
    <x v="252"/>
    <x v="0"/>
  </r>
  <r>
    <x v="659"/>
    <x v="657"/>
    <x v="1"/>
    <n v="36"/>
    <s v="Bangalore"/>
    <x v="5"/>
    <s v="SEO Analyst"/>
    <s v="MBA"/>
    <n v="13"/>
    <n v="96556"/>
    <n v="71.52"/>
    <n v="8"/>
    <n v="18"/>
    <n v="31"/>
    <s v="Low"/>
    <x v="307"/>
    <x v="0"/>
  </r>
  <r>
    <x v="660"/>
    <x v="658"/>
    <x v="1"/>
    <n v="53"/>
    <s v="Delhi"/>
    <x v="1"/>
    <s v="Business Development Executive"/>
    <s v="Diploma"/>
    <n v="3"/>
    <n v="63859"/>
    <n v="99.2"/>
    <n v="12"/>
    <n v="10"/>
    <n v="41"/>
    <s v="Medium"/>
    <x v="97"/>
    <x v="0"/>
  </r>
  <r>
    <x v="661"/>
    <x v="659"/>
    <x v="1"/>
    <n v="53"/>
    <s v="Chennai"/>
    <x v="3"/>
    <s v="Operations Executive"/>
    <s v="Bachelors"/>
    <n v="27"/>
    <n v="96553"/>
    <n v="94.13"/>
    <n v="5"/>
    <n v="45"/>
    <n v="20"/>
    <s v="Medium"/>
    <x v="293"/>
    <x v="0"/>
  </r>
  <r>
    <x v="662"/>
    <x v="660"/>
    <x v="1"/>
    <n v="45"/>
    <s v="Chennai"/>
    <x v="2"/>
    <s v="System Admin"/>
    <s v="MBA"/>
    <n v="20"/>
    <n v="122627"/>
    <n v="97.9"/>
    <n v="8"/>
    <n v="58"/>
    <n v="107"/>
    <s v="Low"/>
    <x v="83"/>
    <x v="1"/>
  </r>
  <r>
    <x v="663"/>
    <x v="661"/>
    <x v="0"/>
    <n v="25"/>
    <s v="Bangalore"/>
    <x v="2"/>
    <s v="Data Analyst"/>
    <s v="MBA"/>
    <n v="0"/>
    <n v="140166"/>
    <n v="71.38"/>
    <n v="10"/>
    <n v="34"/>
    <n v="81"/>
    <s v="High"/>
    <x v="176"/>
    <x v="0"/>
  </r>
  <r>
    <x v="664"/>
    <x v="662"/>
    <x v="1"/>
    <n v="37"/>
    <s v="Bangalore"/>
    <x v="2"/>
    <s v="Software Engineer"/>
    <s v="Masters"/>
    <n v="7"/>
    <n v="134541"/>
    <n v="93.72"/>
    <n v="15"/>
    <n v="21"/>
    <n v="50"/>
    <s v="Low"/>
    <x v="3"/>
    <x v="0"/>
  </r>
  <r>
    <x v="665"/>
    <x v="663"/>
    <x v="0"/>
    <n v="28"/>
    <s v="Pune"/>
    <x v="2"/>
    <s v="Software Engineer"/>
    <s v="Bachelors"/>
    <n v="6"/>
    <n v="98114"/>
    <n v="66.94"/>
    <n v="12"/>
    <n v="32"/>
    <n v="58"/>
    <s v="Low"/>
    <x v="366"/>
    <x v="0"/>
  </r>
  <r>
    <x v="666"/>
    <x v="664"/>
    <x v="1"/>
    <n v="51"/>
    <s v="Mumbai"/>
    <x v="1"/>
    <s v="Business Development Executive"/>
    <s v="Diploma"/>
    <n v="4"/>
    <n v="41701"/>
    <n v="73.209999999999994"/>
    <n v="18"/>
    <n v="36"/>
    <n v="12"/>
    <s v="Medium"/>
    <x v="159"/>
    <x v="0"/>
  </r>
  <r>
    <x v="667"/>
    <x v="665"/>
    <x v="0"/>
    <n v="24"/>
    <s v="Chennai"/>
    <x v="3"/>
    <s v="Coordinator"/>
    <s v="Bachelors"/>
    <n v="3"/>
    <n v="46990"/>
    <n v="68.459999999999994"/>
    <n v="4"/>
    <n v="59"/>
    <n v="53"/>
    <s v="Low"/>
    <x v="367"/>
    <x v="0"/>
  </r>
  <r>
    <x v="668"/>
    <x v="666"/>
    <x v="1"/>
    <n v="24"/>
    <s v="Bangalore"/>
    <x v="2"/>
    <s v="Data Analyst"/>
    <s v="MBA"/>
    <n v="3"/>
    <n v="160373"/>
    <n v="72.819999999999993"/>
    <n v="6"/>
    <n v="21"/>
    <n v="19"/>
    <s v="Medium"/>
    <x v="368"/>
    <x v="0"/>
  </r>
  <r>
    <x v="669"/>
    <x v="667"/>
    <x v="1"/>
    <n v="48"/>
    <s v="Chennai"/>
    <x v="0"/>
    <s v="HR Executive"/>
    <s v="Masters"/>
    <n v="17"/>
    <n v="65164"/>
    <n v="73.95"/>
    <n v="12"/>
    <n v="9"/>
    <n v="27"/>
    <s v="Medium"/>
    <x v="184"/>
    <x v="0"/>
  </r>
  <r>
    <x v="670"/>
    <x v="668"/>
    <x v="1"/>
    <n v="30"/>
    <s v="Hyderabad"/>
    <x v="5"/>
    <s v="SEO Analyst"/>
    <s v="Masters"/>
    <n v="4"/>
    <n v="135259"/>
    <n v="77.69"/>
    <n v="10"/>
    <n v="25"/>
    <n v="68"/>
    <s v="Low"/>
    <x v="343"/>
    <x v="0"/>
  </r>
  <r>
    <x v="671"/>
    <x v="669"/>
    <x v="0"/>
    <n v="24"/>
    <s v="Mumbai"/>
    <x v="5"/>
    <s v="SEO Analyst"/>
    <s v="MBA"/>
    <n v="1"/>
    <n v="113130"/>
    <n v="89.6"/>
    <n v="19"/>
    <n v="17"/>
    <n v="25"/>
    <s v="Low"/>
    <x v="223"/>
    <x v="0"/>
  </r>
  <r>
    <x v="672"/>
    <x v="670"/>
    <x v="0"/>
    <n v="32"/>
    <s v="Bangalore"/>
    <x v="2"/>
    <s v="DevOps Engineer"/>
    <s v="Diploma"/>
    <n v="3"/>
    <n v="84789"/>
    <n v="81.489999999999995"/>
    <n v="11"/>
    <n v="60"/>
    <n v="18"/>
    <s v="Medium"/>
    <x v="369"/>
    <x v="0"/>
  </r>
  <r>
    <x v="673"/>
    <x v="671"/>
    <x v="1"/>
    <n v="40"/>
    <s v="Mumbai"/>
    <x v="0"/>
    <s v="Recruiter"/>
    <s v="Masters"/>
    <n v="19"/>
    <n v="97772"/>
    <n v="93.93"/>
    <n v="4"/>
    <n v="54"/>
    <n v="12"/>
    <s v="Medium"/>
    <x v="370"/>
    <x v="0"/>
  </r>
  <r>
    <x v="674"/>
    <x v="672"/>
    <x v="0"/>
    <n v="54"/>
    <s v="Chennai"/>
    <x v="5"/>
    <s v="Content Strategist"/>
    <s v="Bachelors"/>
    <n v="13"/>
    <n v="129410"/>
    <n v="73.930000000000007"/>
    <n v="8"/>
    <n v="59"/>
    <n v="83"/>
    <s v="Low"/>
    <x v="244"/>
    <x v="0"/>
  </r>
  <r>
    <x v="675"/>
    <x v="673"/>
    <x v="1"/>
    <n v="22"/>
    <s v="Hyderabad"/>
    <x v="1"/>
    <s v="Sales Manager"/>
    <s v="Diploma"/>
    <n v="1"/>
    <n v="77086"/>
    <n v="77.89"/>
    <n v="15"/>
    <n v="26"/>
    <n v="15"/>
    <s v="Low"/>
    <x v="283"/>
    <x v="0"/>
  </r>
  <r>
    <x v="676"/>
    <x v="674"/>
    <x v="0"/>
    <n v="26"/>
    <s v="Mumbai"/>
    <x v="3"/>
    <s v="Coordinator"/>
    <s v="Bachelors"/>
    <n v="3"/>
    <n v="56454"/>
    <n v="77.72"/>
    <n v="16"/>
    <n v="30"/>
    <n v="111"/>
    <s v="High"/>
    <x v="371"/>
    <x v="1"/>
  </r>
  <r>
    <x v="677"/>
    <x v="675"/>
    <x v="1"/>
    <n v="47"/>
    <s v="Hyderabad"/>
    <x v="2"/>
    <s v="DevOps Engineer"/>
    <s v="Bachelors"/>
    <n v="25"/>
    <n v="157887"/>
    <n v="76.040000000000006"/>
    <n v="19"/>
    <n v="15"/>
    <n v="50"/>
    <s v="Low"/>
    <x v="229"/>
    <x v="0"/>
  </r>
  <r>
    <x v="678"/>
    <x v="676"/>
    <x v="0"/>
    <n v="45"/>
    <s v="Pune"/>
    <x v="4"/>
    <s v="Accountant"/>
    <s v="Masters"/>
    <n v="1"/>
    <n v="150049"/>
    <n v="82.56"/>
    <n v="5"/>
    <n v="44"/>
    <n v="15"/>
    <s v="Medium"/>
    <x v="372"/>
    <x v="0"/>
  </r>
  <r>
    <x v="679"/>
    <x v="677"/>
    <x v="0"/>
    <n v="42"/>
    <s v="Bangalore"/>
    <x v="5"/>
    <s v="SEO Analyst"/>
    <s v="Bachelors"/>
    <n v="17"/>
    <n v="105520"/>
    <n v="91.79"/>
    <n v="8"/>
    <n v="54"/>
    <n v="63"/>
    <s v="Medium"/>
    <x v="191"/>
    <x v="0"/>
  </r>
  <r>
    <x v="680"/>
    <x v="678"/>
    <x v="1"/>
    <n v="56"/>
    <s v="Chennai"/>
    <x v="0"/>
    <s v="HR Manager"/>
    <s v="Bachelors"/>
    <n v="20"/>
    <n v="78386"/>
    <n v="75.64"/>
    <n v="18"/>
    <n v="32"/>
    <n v="51"/>
    <s v="Low"/>
    <x v="167"/>
    <x v="0"/>
  </r>
  <r>
    <x v="681"/>
    <x v="679"/>
    <x v="0"/>
    <n v="38"/>
    <s v="Delhi"/>
    <x v="2"/>
    <s v="Data Analyst"/>
    <s v="MBA"/>
    <n v="1"/>
    <n v="162081"/>
    <n v="69.400000000000006"/>
    <n v="9"/>
    <n v="49"/>
    <n v="97"/>
    <s v="Low"/>
    <x v="123"/>
    <x v="0"/>
  </r>
  <r>
    <x v="682"/>
    <x v="680"/>
    <x v="1"/>
    <n v="43"/>
    <s v="Hyderabad"/>
    <x v="4"/>
    <s v="Auditor"/>
    <s v="MBA"/>
    <n v="7"/>
    <n v="124678"/>
    <n v="79.989999999999995"/>
    <n v="1"/>
    <n v="43"/>
    <n v="111"/>
    <s v="Medium"/>
    <x v="244"/>
    <x v="0"/>
  </r>
  <r>
    <x v="683"/>
    <x v="231"/>
    <x v="0"/>
    <n v="39"/>
    <s v="Delhi"/>
    <x v="3"/>
    <s v="Coordinator"/>
    <s v="MBA"/>
    <n v="3"/>
    <n v="57013"/>
    <n v="76.08"/>
    <n v="8"/>
    <n v="45"/>
    <n v="22"/>
    <s v="Low"/>
    <x v="373"/>
    <x v="0"/>
  </r>
  <r>
    <x v="684"/>
    <x v="681"/>
    <x v="1"/>
    <n v="27"/>
    <s v="Delhi"/>
    <x v="3"/>
    <s v="Supervisor"/>
    <s v="MBA"/>
    <n v="0"/>
    <n v="66149"/>
    <n v="67.53"/>
    <n v="9"/>
    <n v="47"/>
    <n v="43"/>
    <s v="High"/>
    <x v="352"/>
    <x v="0"/>
  </r>
  <r>
    <x v="685"/>
    <x v="682"/>
    <x v="0"/>
    <n v="45"/>
    <s v="Chennai"/>
    <x v="4"/>
    <s v="Accountant"/>
    <s v="MBA"/>
    <n v="20"/>
    <n v="112865"/>
    <n v="88.66"/>
    <n v="15"/>
    <n v="27"/>
    <n v="18"/>
    <s v="Low"/>
    <x v="48"/>
    <x v="0"/>
  </r>
  <r>
    <x v="686"/>
    <x v="683"/>
    <x v="0"/>
    <n v="22"/>
    <s v="Chennai"/>
    <x v="1"/>
    <s v="Sales Manager"/>
    <s v="Masters"/>
    <n v="0"/>
    <n v="55860"/>
    <n v="71.06"/>
    <n v="5"/>
    <n v="30"/>
    <n v="98"/>
    <s v="Medium"/>
    <x v="374"/>
    <x v="0"/>
  </r>
  <r>
    <x v="687"/>
    <x v="684"/>
    <x v="1"/>
    <n v="42"/>
    <s v="Mumbai"/>
    <x v="0"/>
    <s v="HR Executive"/>
    <s v="Masters"/>
    <n v="19"/>
    <n v="89779"/>
    <n v="89.23"/>
    <n v="3"/>
    <n v="17"/>
    <n v="46"/>
    <s v="Low"/>
    <x v="375"/>
    <x v="0"/>
  </r>
  <r>
    <x v="688"/>
    <x v="685"/>
    <x v="0"/>
    <n v="57"/>
    <s v="Mumbai"/>
    <x v="3"/>
    <s v="Operations Executive"/>
    <s v="MBA"/>
    <n v="19"/>
    <n v="92331"/>
    <n v="81.38"/>
    <n v="11"/>
    <n v="19"/>
    <n v="100"/>
    <s v="Medium"/>
    <x v="2"/>
    <x v="0"/>
  </r>
  <r>
    <x v="689"/>
    <x v="686"/>
    <x v="1"/>
    <n v="31"/>
    <s v="Pune"/>
    <x v="1"/>
    <s v="Business Development Executive"/>
    <s v="Bachelors"/>
    <n v="9"/>
    <n v="75326"/>
    <n v="76.790000000000006"/>
    <n v="19"/>
    <n v="8"/>
    <n v="103"/>
    <s v="High"/>
    <x v="376"/>
    <x v="1"/>
  </r>
  <r>
    <x v="690"/>
    <x v="687"/>
    <x v="1"/>
    <n v="45"/>
    <s v="Chennai"/>
    <x v="4"/>
    <s v="Auditor"/>
    <s v="Diploma"/>
    <n v="14"/>
    <n v="159618"/>
    <n v="94.83"/>
    <n v="4"/>
    <n v="35"/>
    <n v="53"/>
    <s v="Medium"/>
    <x v="37"/>
    <x v="0"/>
  </r>
  <r>
    <x v="691"/>
    <x v="688"/>
    <x v="1"/>
    <n v="52"/>
    <s v="Pune"/>
    <x v="3"/>
    <s v="Operations Executive"/>
    <s v="Diploma"/>
    <n v="14"/>
    <n v="68343"/>
    <n v="84.81"/>
    <n v="3"/>
    <n v="26"/>
    <n v="111"/>
    <s v="Low"/>
    <x v="196"/>
    <x v="0"/>
  </r>
  <r>
    <x v="692"/>
    <x v="689"/>
    <x v="0"/>
    <n v="47"/>
    <s v="Delhi"/>
    <x v="4"/>
    <s v="Accountant"/>
    <s v="Masters"/>
    <n v="17"/>
    <n v="73755"/>
    <n v="65.010000000000005"/>
    <n v="9"/>
    <n v="6"/>
    <n v="61"/>
    <s v="Medium"/>
    <x v="286"/>
    <x v="0"/>
  </r>
  <r>
    <x v="693"/>
    <x v="690"/>
    <x v="1"/>
    <n v="49"/>
    <s v="Bangalore"/>
    <x v="4"/>
    <s v="Auditor"/>
    <s v="MBA"/>
    <n v="1"/>
    <n v="82017"/>
    <n v="99.06"/>
    <n v="13"/>
    <n v="52"/>
    <n v="109"/>
    <s v="Medium"/>
    <x v="358"/>
    <x v="0"/>
  </r>
  <r>
    <x v="694"/>
    <x v="691"/>
    <x v="1"/>
    <n v="49"/>
    <s v="Delhi"/>
    <x v="5"/>
    <s v="SEO Analyst"/>
    <s v="Masters"/>
    <n v="26"/>
    <n v="82180"/>
    <n v="69.760000000000005"/>
    <n v="1"/>
    <n v="5"/>
    <n v="58"/>
    <s v="High"/>
    <x v="14"/>
    <x v="0"/>
  </r>
  <r>
    <x v="695"/>
    <x v="692"/>
    <x v="1"/>
    <n v="58"/>
    <s v="Delhi"/>
    <x v="4"/>
    <s v="Auditor"/>
    <s v="Masters"/>
    <n v="31"/>
    <n v="112770"/>
    <n v="90.4"/>
    <n v="5"/>
    <n v="58"/>
    <n v="62"/>
    <s v="Medium"/>
    <x v="377"/>
    <x v="0"/>
  </r>
  <r>
    <x v="696"/>
    <x v="693"/>
    <x v="1"/>
    <n v="47"/>
    <s v="Chennai"/>
    <x v="0"/>
    <s v="HR Executive"/>
    <s v="Diploma"/>
    <n v="13"/>
    <n v="78328"/>
    <n v="94.23"/>
    <n v="19"/>
    <n v="50"/>
    <n v="56"/>
    <s v="High"/>
    <x v="150"/>
    <x v="0"/>
  </r>
  <r>
    <x v="697"/>
    <x v="694"/>
    <x v="0"/>
    <n v="22"/>
    <s v="Mumbai"/>
    <x v="3"/>
    <s v="Operations Executive"/>
    <s v="MBA"/>
    <n v="0"/>
    <n v="100800"/>
    <n v="70.260000000000005"/>
    <n v="12"/>
    <n v="28"/>
    <n v="64"/>
    <s v="Medium"/>
    <x v="337"/>
    <x v="0"/>
  </r>
  <r>
    <x v="698"/>
    <x v="695"/>
    <x v="1"/>
    <n v="28"/>
    <s v="Hyderabad"/>
    <x v="1"/>
    <s v="Business Development Executive"/>
    <s v="Bachelors"/>
    <n v="4"/>
    <n v="128046"/>
    <n v="94.7"/>
    <n v="15"/>
    <n v="54"/>
    <n v="69"/>
    <s v="Low"/>
    <x v="8"/>
    <x v="0"/>
  </r>
  <r>
    <x v="699"/>
    <x v="696"/>
    <x v="0"/>
    <n v="48"/>
    <s v="Bangalore"/>
    <x v="3"/>
    <s v="Coordinator"/>
    <s v="Masters"/>
    <n v="17"/>
    <n v="100055"/>
    <n v="79.64"/>
    <n v="16"/>
    <n v="29"/>
    <n v="120"/>
    <s v="High"/>
    <x v="378"/>
    <x v="1"/>
  </r>
  <r>
    <x v="700"/>
    <x v="697"/>
    <x v="0"/>
    <n v="50"/>
    <s v="Mumbai"/>
    <x v="2"/>
    <s v="System Admin"/>
    <s v="MBA"/>
    <n v="5"/>
    <n v="153088"/>
    <n v="77.42"/>
    <n v="17"/>
    <n v="43"/>
    <n v="16"/>
    <s v="Medium"/>
    <x v="174"/>
    <x v="0"/>
  </r>
  <r>
    <x v="701"/>
    <x v="698"/>
    <x v="0"/>
    <n v="44"/>
    <s v="Delhi"/>
    <x v="0"/>
    <s v="HR Executive"/>
    <s v="Diploma"/>
    <n v="0"/>
    <n v="94343"/>
    <n v="72.540000000000006"/>
    <n v="6"/>
    <n v="2"/>
    <n v="100"/>
    <s v="High"/>
    <x v="379"/>
    <x v="0"/>
  </r>
  <r>
    <x v="702"/>
    <x v="699"/>
    <x v="0"/>
    <n v="56"/>
    <s v="Bangalore"/>
    <x v="5"/>
    <s v="Content Strategist"/>
    <s v="Diploma"/>
    <n v="32"/>
    <n v="131707"/>
    <n v="66.67"/>
    <n v="10"/>
    <n v="59"/>
    <n v="112"/>
    <s v="High"/>
    <x v="380"/>
    <x v="0"/>
  </r>
  <r>
    <x v="703"/>
    <x v="700"/>
    <x v="0"/>
    <n v="22"/>
    <s v="Delhi"/>
    <x v="4"/>
    <s v="Accountant"/>
    <s v="Bachelors"/>
    <n v="1"/>
    <n v="77440"/>
    <n v="69.55"/>
    <n v="1"/>
    <n v="45"/>
    <n v="26"/>
    <s v="Medium"/>
    <x v="381"/>
    <x v="0"/>
  </r>
  <r>
    <x v="704"/>
    <x v="701"/>
    <x v="0"/>
    <n v="53"/>
    <s v="Delhi"/>
    <x v="0"/>
    <s v="Recruiter"/>
    <s v="Masters"/>
    <n v="13"/>
    <n v="40214"/>
    <n v="70.319999999999993"/>
    <n v="9"/>
    <n v="41"/>
    <n v="67"/>
    <s v="Medium"/>
    <x v="382"/>
    <x v="0"/>
  </r>
  <r>
    <x v="705"/>
    <x v="702"/>
    <x v="1"/>
    <n v="56"/>
    <s v="Pune"/>
    <x v="2"/>
    <s v="Data Analyst"/>
    <s v="Masters"/>
    <n v="2"/>
    <n v="150372"/>
    <n v="89.64"/>
    <n v="7"/>
    <n v="32"/>
    <n v="101"/>
    <s v="Low"/>
    <x v="90"/>
    <x v="0"/>
  </r>
  <r>
    <x v="706"/>
    <x v="703"/>
    <x v="0"/>
    <n v="47"/>
    <s v="Mumbai"/>
    <x v="3"/>
    <s v="Supervisor"/>
    <s v="Diploma"/>
    <n v="1"/>
    <n v="86466"/>
    <n v="79.150000000000006"/>
    <n v="2"/>
    <n v="43"/>
    <n v="70"/>
    <s v="Low"/>
    <x v="306"/>
    <x v="0"/>
  </r>
  <r>
    <x v="707"/>
    <x v="704"/>
    <x v="1"/>
    <n v="40"/>
    <s v="Chennai"/>
    <x v="1"/>
    <s v="Business Development Executive"/>
    <s v="Diploma"/>
    <n v="13"/>
    <n v="117734"/>
    <n v="78.31"/>
    <n v="15"/>
    <n v="38"/>
    <n v="109"/>
    <s v="High"/>
    <x v="383"/>
    <x v="1"/>
  </r>
  <r>
    <x v="708"/>
    <x v="705"/>
    <x v="0"/>
    <n v="49"/>
    <s v="Pune"/>
    <x v="2"/>
    <s v="Data Analyst"/>
    <s v="Masters"/>
    <n v="24"/>
    <n v="85815"/>
    <n v="95.77"/>
    <n v="17"/>
    <n v="21"/>
    <n v="20"/>
    <s v="Medium"/>
    <x v="384"/>
    <x v="1"/>
  </r>
  <r>
    <x v="709"/>
    <x v="706"/>
    <x v="1"/>
    <n v="45"/>
    <s v="Chennai"/>
    <x v="5"/>
    <s v="SEO Analyst"/>
    <s v="Masters"/>
    <n v="24"/>
    <n v="139382"/>
    <n v="78.25"/>
    <n v="3"/>
    <n v="58"/>
    <n v="34"/>
    <s v="Low"/>
    <x v="165"/>
    <x v="0"/>
  </r>
  <r>
    <x v="710"/>
    <x v="707"/>
    <x v="0"/>
    <n v="38"/>
    <s v="Bangalore"/>
    <x v="0"/>
    <s v="HR Manager"/>
    <s v="Diploma"/>
    <n v="2"/>
    <n v="69151"/>
    <n v="92.09"/>
    <n v="6"/>
    <n v="49"/>
    <n v="56"/>
    <s v="High"/>
    <x v="6"/>
    <x v="0"/>
  </r>
  <r>
    <x v="711"/>
    <x v="708"/>
    <x v="0"/>
    <n v="56"/>
    <s v="Mumbai"/>
    <x v="1"/>
    <s v="Sales Executive"/>
    <s v="Bachelors"/>
    <n v="11"/>
    <n v="104895"/>
    <n v="84.63"/>
    <n v="4"/>
    <n v="56"/>
    <n v="20"/>
    <s v="Medium"/>
    <x v="385"/>
    <x v="0"/>
  </r>
  <r>
    <x v="712"/>
    <x v="709"/>
    <x v="0"/>
    <n v="44"/>
    <s v="Hyderabad"/>
    <x v="2"/>
    <s v="DevOps Engineer"/>
    <s v="MBA"/>
    <n v="5"/>
    <n v="65483"/>
    <n v="75.56"/>
    <n v="1"/>
    <n v="19"/>
    <n v="107"/>
    <s v="Medium"/>
    <x v="230"/>
    <x v="0"/>
  </r>
  <r>
    <x v="713"/>
    <x v="710"/>
    <x v="1"/>
    <n v="37"/>
    <s v="Pune"/>
    <x v="0"/>
    <s v="HR Manager"/>
    <s v="MBA"/>
    <n v="10"/>
    <n v="82439"/>
    <n v="88.99"/>
    <n v="13"/>
    <n v="25"/>
    <n v="31"/>
    <s v="Medium"/>
    <x v="386"/>
    <x v="0"/>
  </r>
  <r>
    <x v="714"/>
    <x v="711"/>
    <x v="0"/>
    <n v="44"/>
    <s v="Hyderabad"/>
    <x v="0"/>
    <s v="HR Executive"/>
    <s v="MBA"/>
    <n v="18"/>
    <n v="73231"/>
    <n v="70.5"/>
    <n v="10"/>
    <n v="2"/>
    <n v="91"/>
    <s v="High"/>
    <x v="57"/>
    <x v="0"/>
  </r>
  <r>
    <x v="715"/>
    <x v="712"/>
    <x v="0"/>
    <n v="42"/>
    <s v="Hyderabad"/>
    <x v="2"/>
    <s v="DevOps Engineer"/>
    <s v="Bachelors"/>
    <n v="4"/>
    <n v="80904"/>
    <n v="73.52"/>
    <n v="16"/>
    <n v="18"/>
    <n v="107"/>
    <s v="Medium"/>
    <x v="357"/>
    <x v="1"/>
  </r>
  <r>
    <x v="716"/>
    <x v="713"/>
    <x v="0"/>
    <n v="54"/>
    <s v="Delhi"/>
    <x v="0"/>
    <s v="Recruiter"/>
    <s v="Bachelors"/>
    <n v="33"/>
    <n v="42822"/>
    <n v="70.66"/>
    <n v="17"/>
    <n v="0"/>
    <n v="59"/>
    <s v="High"/>
    <x v="56"/>
    <x v="1"/>
  </r>
  <r>
    <x v="717"/>
    <x v="714"/>
    <x v="0"/>
    <n v="39"/>
    <s v="Chennai"/>
    <x v="3"/>
    <s v="Operations Executive"/>
    <s v="Masters"/>
    <n v="0"/>
    <n v="41902"/>
    <n v="65.510000000000005"/>
    <n v="2"/>
    <n v="57"/>
    <n v="117"/>
    <s v="Medium"/>
    <x v="387"/>
    <x v="0"/>
  </r>
  <r>
    <x v="718"/>
    <x v="715"/>
    <x v="1"/>
    <n v="55"/>
    <s v="Hyderabad"/>
    <x v="2"/>
    <s v="DevOps Engineer"/>
    <s v="Diploma"/>
    <n v="10"/>
    <n v="164091"/>
    <n v="70.39"/>
    <n v="13"/>
    <n v="4"/>
    <n v="109"/>
    <s v="High"/>
    <x v="191"/>
    <x v="0"/>
  </r>
  <r>
    <x v="719"/>
    <x v="716"/>
    <x v="1"/>
    <n v="35"/>
    <s v="Bangalore"/>
    <x v="0"/>
    <s v="HR Executive"/>
    <s v="MBA"/>
    <n v="2"/>
    <n v="90468"/>
    <n v="74.11"/>
    <n v="4"/>
    <n v="39"/>
    <n v="116"/>
    <s v="Medium"/>
    <x v="77"/>
    <x v="0"/>
  </r>
  <r>
    <x v="720"/>
    <x v="717"/>
    <x v="0"/>
    <n v="54"/>
    <s v="Hyderabad"/>
    <x v="0"/>
    <s v="HR Executive"/>
    <s v="Bachelors"/>
    <n v="18"/>
    <n v="52290"/>
    <n v="66.19"/>
    <n v="1"/>
    <n v="12"/>
    <n v="66"/>
    <s v="Medium"/>
    <x v="221"/>
    <x v="0"/>
  </r>
  <r>
    <x v="721"/>
    <x v="718"/>
    <x v="0"/>
    <n v="45"/>
    <s v="Chennai"/>
    <x v="4"/>
    <s v="Financial Analyst"/>
    <s v="Diploma"/>
    <n v="7"/>
    <n v="109428"/>
    <n v="72.930000000000007"/>
    <n v="13"/>
    <n v="47"/>
    <n v="17"/>
    <s v="High"/>
    <x v="388"/>
    <x v="0"/>
  </r>
  <r>
    <x v="722"/>
    <x v="353"/>
    <x v="0"/>
    <n v="44"/>
    <s v="Hyderabad"/>
    <x v="0"/>
    <s v="Recruiter"/>
    <s v="MBA"/>
    <n v="12"/>
    <n v="76696"/>
    <n v="90.15"/>
    <n v="11"/>
    <n v="49"/>
    <n v="61"/>
    <s v="Medium"/>
    <x v="243"/>
    <x v="0"/>
  </r>
  <r>
    <x v="723"/>
    <x v="719"/>
    <x v="1"/>
    <n v="35"/>
    <s v="Hyderabad"/>
    <x v="3"/>
    <s v="Coordinator"/>
    <s v="Masters"/>
    <n v="8"/>
    <n v="57465"/>
    <n v="82.6"/>
    <n v="9"/>
    <n v="3"/>
    <n v="89"/>
    <s v="High"/>
    <x v="227"/>
    <x v="1"/>
  </r>
  <r>
    <x v="724"/>
    <x v="720"/>
    <x v="1"/>
    <n v="50"/>
    <s v="Hyderabad"/>
    <x v="1"/>
    <s v="Sales Executive"/>
    <s v="Bachelors"/>
    <n v="9"/>
    <n v="102690"/>
    <n v="87.34"/>
    <n v="8"/>
    <n v="25"/>
    <n v="95"/>
    <s v="High"/>
    <x v="220"/>
    <x v="0"/>
  </r>
  <r>
    <x v="725"/>
    <x v="721"/>
    <x v="1"/>
    <n v="49"/>
    <s v="Bangalore"/>
    <x v="2"/>
    <s v="Data Analyst"/>
    <s v="Diploma"/>
    <n v="12"/>
    <n v="116630"/>
    <n v="91.71"/>
    <n v="9"/>
    <n v="60"/>
    <n v="52"/>
    <s v="Low"/>
    <x v="192"/>
    <x v="0"/>
  </r>
  <r>
    <x v="726"/>
    <x v="722"/>
    <x v="1"/>
    <n v="50"/>
    <s v="Chennai"/>
    <x v="2"/>
    <s v="Software Engineer"/>
    <s v="Bachelors"/>
    <n v="6"/>
    <n v="110486"/>
    <n v="85.43"/>
    <n v="1"/>
    <n v="31"/>
    <n v="58"/>
    <s v="Low"/>
    <x v="295"/>
    <x v="0"/>
  </r>
  <r>
    <x v="727"/>
    <x v="723"/>
    <x v="0"/>
    <n v="22"/>
    <s v="Mumbai"/>
    <x v="4"/>
    <s v="Financial Analyst"/>
    <s v="MBA"/>
    <n v="1"/>
    <n v="89643"/>
    <n v="71.63"/>
    <n v="14"/>
    <n v="47"/>
    <n v="71"/>
    <s v="Low"/>
    <x v="389"/>
    <x v="0"/>
  </r>
  <r>
    <x v="728"/>
    <x v="724"/>
    <x v="1"/>
    <n v="47"/>
    <s v="Hyderabad"/>
    <x v="1"/>
    <s v="Sales Manager"/>
    <s v="Bachelors"/>
    <n v="11"/>
    <n v="69058"/>
    <n v="93.55"/>
    <n v="14"/>
    <n v="51"/>
    <n v="75"/>
    <s v="High"/>
    <x v="390"/>
    <x v="0"/>
  </r>
  <r>
    <x v="729"/>
    <x v="725"/>
    <x v="0"/>
    <n v="31"/>
    <s v="Delhi"/>
    <x v="0"/>
    <s v="HR Manager"/>
    <s v="Bachelors"/>
    <n v="2"/>
    <n v="78913"/>
    <n v="88.12"/>
    <n v="12"/>
    <n v="29"/>
    <n v="40"/>
    <s v="Low"/>
    <x v="82"/>
    <x v="0"/>
  </r>
  <r>
    <x v="730"/>
    <x v="726"/>
    <x v="0"/>
    <n v="31"/>
    <s v="Hyderabad"/>
    <x v="2"/>
    <s v="Software Engineer"/>
    <s v="Diploma"/>
    <n v="2"/>
    <n v="80232"/>
    <n v="82.09"/>
    <n v="10"/>
    <n v="24"/>
    <n v="62"/>
    <s v="Low"/>
    <x v="391"/>
    <x v="0"/>
  </r>
  <r>
    <x v="731"/>
    <x v="727"/>
    <x v="1"/>
    <n v="48"/>
    <s v="Pune"/>
    <x v="0"/>
    <s v="HR Manager"/>
    <s v="Diploma"/>
    <n v="15"/>
    <n v="82460"/>
    <n v="92.91"/>
    <n v="15"/>
    <n v="18"/>
    <n v="59"/>
    <s v="Low"/>
    <x v="274"/>
    <x v="0"/>
  </r>
  <r>
    <x v="732"/>
    <x v="728"/>
    <x v="1"/>
    <n v="27"/>
    <s v="Pune"/>
    <x v="4"/>
    <s v="Accountant"/>
    <s v="Bachelors"/>
    <n v="4"/>
    <n v="53120"/>
    <n v="88.48"/>
    <n v="20"/>
    <n v="22"/>
    <n v="37"/>
    <s v="Medium"/>
    <x v="392"/>
    <x v="0"/>
  </r>
  <r>
    <x v="733"/>
    <x v="729"/>
    <x v="0"/>
    <n v="56"/>
    <s v="Pune"/>
    <x v="1"/>
    <s v="Sales Manager"/>
    <s v="Masters"/>
    <n v="22"/>
    <n v="88505"/>
    <n v="78.62"/>
    <n v="8"/>
    <n v="17"/>
    <n v="119"/>
    <s v="High"/>
    <x v="3"/>
    <x v="0"/>
  </r>
  <r>
    <x v="734"/>
    <x v="730"/>
    <x v="0"/>
    <n v="54"/>
    <s v="Chennai"/>
    <x v="0"/>
    <s v="HR Manager"/>
    <s v="MBA"/>
    <n v="8"/>
    <n v="84681"/>
    <n v="87.48"/>
    <n v="6"/>
    <n v="60"/>
    <n v="106"/>
    <s v="Low"/>
    <x v="246"/>
    <x v="0"/>
  </r>
  <r>
    <x v="735"/>
    <x v="731"/>
    <x v="1"/>
    <n v="50"/>
    <s v="Hyderabad"/>
    <x v="5"/>
    <s v="Marketing Executive"/>
    <s v="Diploma"/>
    <n v="21"/>
    <n v="79299"/>
    <n v="85.35"/>
    <n v="15"/>
    <n v="46"/>
    <n v="20"/>
    <s v="Low"/>
    <x v="248"/>
    <x v="0"/>
  </r>
  <r>
    <x v="736"/>
    <x v="732"/>
    <x v="1"/>
    <n v="28"/>
    <s v="Delhi"/>
    <x v="1"/>
    <s v="Business Development Executive"/>
    <s v="MBA"/>
    <n v="2"/>
    <n v="63465"/>
    <n v="74.069999999999993"/>
    <n v="16"/>
    <n v="0"/>
    <n v="40"/>
    <s v="Medium"/>
    <x v="106"/>
    <x v="0"/>
  </r>
  <r>
    <x v="737"/>
    <x v="733"/>
    <x v="1"/>
    <n v="56"/>
    <s v="Chennai"/>
    <x v="0"/>
    <s v="HR Manager"/>
    <s v="MBA"/>
    <n v="27"/>
    <n v="53889"/>
    <n v="84.96"/>
    <n v="1"/>
    <n v="25"/>
    <n v="14"/>
    <s v="Low"/>
    <x v="346"/>
    <x v="0"/>
  </r>
  <r>
    <x v="738"/>
    <x v="734"/>
    <x v="0"/>
    <n v="42"/>
    <s v="Pune"/>
    <x v="4"/>
    <s v="Financial Analyst"/>
    <s v="MBA"/>
    <n v="16"/>
    <n v="90549"/>
    <n v="75.319999999999993"/>
    <n v="2"/>
    <n v="59"/>
    <n v="53"/>
    <s v="High"/>
    <x v="14"/>
    <x v="0"/>
  </r>
  <r>
    <x v="739"/>
    <x v="735"/>
    <x v="0"/>
    <n v="54"/>
    <s v="Chennai"/>
    <x v="1"/>
    <s v="Sales Manager"/>
    <s v="Diploma"/>
    <n v="23"/>
    <n v="112657"/>
    <n v="83.6"/>
    <n v="1"/>
    <n v="18"/>
    <n v="119"/>
    <s v="Medium"/>
    <x v="57"/>
    <x v="0"/>
  </r>
  <r>
    <x v="740"/>
    <x v="736"/>
    <x v="1"/>
    <n v="39"/>
    <s v="Hyderabad"/>
    <x v="1"/>
    <s v="Business Development Executive"/>
    <s v="Bachelors"/>
    <n v="12"/>
    <n v="69590"/>
    <n v="99.21"/>
    <n v="20"/>
    <n v="9"/>
    <n v="94"/>
    <s v="Medium"/>
    <x v="383"/>
    <x v="1"/>
  </r>
  <r>
    <x v="741"/>
    <x v="737"/>
    <x v="1"/>
    <n v="48"/>
    <s v="Chennai"/>
    <x v="4"/>
    <s v="Auditor"/>
    <s v="Masters"/>
    <n v="3"/>
    <n v="152112"/>
    <n v="67.680000000000007"/>
    <n v="17"/>
    <n v="39"/>
    <n v="44"/>
    <s v="Low"/>
    <x v="75"/>
    <x v="0"/>
  </r>
  <r>
    <x v="742"/>
    <x v="738"/>
    <x v="1"/>
    <n v="44"/>
    <s v="Bangalore"/>
    <x v="0"/>
    <s v="HR Executive"/>
    <s v="Diploma"/>
    <n v="10"/>
    <n v="50638"/>
    <n v="66.2"/>
    <n v="16"/>
    <n v="36"/>
    <n v="56"/>
    <s v="Medium"/>
    <x v="48"/>
    <x v="0"/>
  </r>
  <r>
    <x v="743"/>
    <x v="739"/>
    <x v="1"/>
    <n v="52"/>
    <s v="Chennai"/>
    <x v="3"/>
    <s v="Operations Executive"/>
    <s v="Bachelors"/>
    <n v="24"/>
    <n v="75667"/>
    <n v="93.79"/>
    <n v="8"/>
    <n v="60"/>
    <n v="65"/>
    <s v="Medium"/>
    <x v="274"/>
    <x v="0"/>
  </r>
  <r>
    <x v="744"/>
    <x v="740"/>
    <x v="0"/>
    <n v="41"/>
    <s v="Mumbai"/>
    <x v="4"/>
    <s v="Financial Analyst"/>
    <s v="Diploma"/>
    <n v="2"/>
    <n v="70038"/>
    <n v="81.93"/>
    <n v="5"/>
    <n v="2"/>
    <n v="34"/>
    <s v="High"/>
    <x v="393"/>
    <x v="0"/>
  </r>
  <r>
    <x v="745"/>
    <x v="741"/>
    <x v="0"/>
    <n v="33"/>
    <s v="Chennai"/>
    <x v="2"/>
    <s v="Software Engineer"/>
    <s v="Masters"/>
    <n v="9"/>
    <n v="129004"/>
    <n v="98.77"/>
    <n v="13"/>
    <n v="24"/>
    <n v="19"/>
    <s v="Medium"/>
    <x v="394"/>
    <x v="0"/>
  </r>
  <r>
    <x v="746"/>
    <x v="742"/>
    <x v="1"/>
    <n v="51"/>
    <s v="Delhi"/>
    <x v="2"/>
    <s v="Data Analyst"/>
    <s v="MBA"/>
    <n v="25"/>
    <n v="113766"/>
    <n v="88.65"/>
    <n v="15"/>
    <n v="20"/>
    <n v="118"/>
    <s v="High"/>
    <x v="7"/>
    <x v="1"/>
  </r>
  <r>
    <x v="747"/>
    <x v="743"/>
    <x v="1"/>
    <n v="55"/>
    <s v="Hyderabad"/>
    <x v="4"/>
    <s v="Accountant"/>
    <s v="Masters"/>
    <n v="0"/>
    <n v="119069"/>
    <n v="82.55"/>
    <n v="17"/>
    <n v="53"/>
    <n v="85"/>
    <s v="High"/>
    <x v="121"/>
    <x v="0"/>
  </r>
  <r>
    <x v="748"/>
    <x v="744"/>
    <x v="1"/>
    <n v="48"/>
    <s v="Pune"/>
    <x v="5"/>
    <s v="SEO Analyst"/>
    <s v="Diploma"/>
    <n v="8"/>
    <n v="65695"/>
    <n v="79.3"/>
    <n v="8"/>
    <n v="33"/>
    <n v="65"/>
    <s v="Low"/>
    <x v="382"/>
    <x v="0"/>
  </r>
  <r>
    <x v="749"/>
    <x v="745"/>
    <x v="0"/>
    <n v="49"/>
    <s v="Mumbai"/>
    <x v="2"/>
    <s v="Data Analyst"/>
    <s v="Masters"/>
    <n v="14"/>
    <n v="66173"/>
    <n v="93.18"/>
    <n v="3"/>
    <n v="45"/>
    <n v="91"/>
    <s v="Medium"/>
    <x v="395"/>
    <x v="0"/>
  </r>
  <r>
    <x v="750"/>
    <x v="746"/>
    <x v="0"/>
    <n v="34"/>
    <s v="Mumbai"/>
    <x v="1"/>
    <s v="Sales Executive"/>
    <s v="MBA"/>
    <n v="1"/>
    <n v="126184"/>
    <n v="87.1"/>
    <n v="13"/>
    <n v="54"/>
    <n v="80"/>
    <s v="Medium"/>
    <x v="136"/>
    <x v="0"/>
  </r>
  <r>
    <x v="751"/>
    <x v="747"/>
    <x v="1"/>
    <n v="24"/>
    <s v="Delhi"/>
    <x v="0"/>
    <s v="HR Executive"/>
    <s v="Diploma"/>
    <n v="3"/>
    <n v="69662"/>
    <n v="83.83"/>
    <n v="8"/>
    <n v="43"/>
    <n v="19"/>
    <s v="High"/>
    <x v="396"/>
    <x v="0"/>
  </r>
  <r>
    <x v="752"/>
    <x v="748"/>
    <x v="0"/>
    <n v="41"/>
    <s v="Bangalore"/>
    <x v="3"/>
    <s v="Coordinator"/>
    <s v="MBA"/>
    <n v="5"/>
    <n v="115819"/>
    <n v="96.86"/>
    <n v="4"/>
    <n v="32"/>
    <n v="16"/>
    <s v="Medium"/>
    <x v="397"/>
    <x v="0"/>
  </r>
  <r>
    <x v="753"/>
    <x v="749"/>
    <x v="1"/>
    <n v="30"/>
    <s v="Pune"/>
    <x v="4"/>
    <s v="Financial Analyst"/>
    <s v="Diploma"/>
    <n v="8"/>
    <n v="69049"/>
    <n v="75.16"/>
    <n v="19"/>
    <n v="56"/>
    <n v="25"/>
    <s v="Low"/>
    <x v="226"/>
    <x v="0"/>
  </r>
  <r>
    <x v="754"/>
    <x v="750"/>
    <x v="0"/>
    <n v="33"/>
    <s v="Mumbai"/>
    <x v="2"/>
    <s v="Data Analyst"/>
    <s v="Bachelors"/>
    <n v="1"/>
    <n v="118969"/>
    <n v="95.42"/>
    <n v="1"/>
    <n v="41"/>
    <n v="115"/>
    <s v="Medium"/>
    <x v="226"/>
    <x v="0"/>
  </r>
  <r>
    <x v="755"/>
    <x v="751"/>
    <x v="1"/>
    <n v="54"/>
    <s v="Delhi"/>
    <x v="4"/>
    <s v="Auditor"/>
    <s v="Masters"/>
    <n v="17"/>
    <n v="151180"/>
    <n v="66.98"/>
    <n v="7"/>
    <n v="46"/>
    <n v="77"/>
    <s v="Medium"/>
    <x v="337"/>
    <x v="0"/>
  </r>
  <r>
    <x v="756"/>
    <x v="752"/>
    <x v="0"/>
    <n v="58"/>
    <s v="Delhi"/>
    <x v="4"/>
    <s v="Financial Analyst"/>
    <s v="Diploma"/>
    <n v="4"/>
    <n v="131668"/>
    <n v="92.92"/>
    <n v="13"/>
    <n v="39"/>
    <n v="119"/>
    <s v="High"/>
    <x v="163"/>
    <x v="1"/>
  </r>
  <r>
    <x v="757"/>
    <x v="753"/>
    <x v="0"/>
    <n v="49"/>
    <s v="Hyderabad"/>
    <x v="5"/>
    <s v="Content Strategist"/>
    <s v="MBA"/>
    <n v="21"/>
    <n v="130855"/>
    <n v="85.17"/>
    <n v="2"/>
    <n v="9"/>
    <n v="45"/>
    <s v="Medium"/>
    <x v="242"/>
    <x v="0"/>
  </r>
  <r>
    <x v="758"/>
    <x v="754"/>
    <x v="1"/>
    <n v="22"/>
    <s v="Hyderabad"/>
    <x v="5"/>
    <s v="SEO Analyst"/>
    <s v="MBA"/>
    <n v="0"/>
    <n v="117150"/>
    <n v="93.23"/>
    <n v="20"/>
    <n v="58"/>
    <n v="5"/>
    <s v="High"/>
    <x v="79"/>
    <x v="0"/>
  </r>
  <r>
    <x v="759"/>
    <x v="755"/>
    <x v="0"/>
    <n v="54"/>
    <s v="Pune"/>
    <x v="2"/>
    <s v="DevOps Engineer"/>
    <s v="Diploma"/>
    <n v="20"/>
    <n v="129737"/>
    <n v="88.61"/>
    <n v="11"/>
    <n v="27"/>
    <n v="48"/>
    <s v="Medium"/>
    <x v="57"/>
    <x v="0"/>
  </r>
  <r>
    <x v="760"/>
    <x v="756"/>
    <x v="1"/>
    <n v="35"/>
    <s v="Bangalore"/>
    <x v="1"/>
    <s v="Sales Manager"/>
    <s v="Masters"/>
    <n v="5"/>
    <n v="37199"/>
    <n v="89.31"/>
    <n v="15"/>
    <n v="34"/>
    <n v="81"/>
    <s v="Low"/>
    <x v="398"/>
    <x v="1"/>
  </r>
  <r>
    <x v="761"/>
    <x v="757"/>
    <x v="1"/>
    <n v="48"/>
    <s v="Hyderabad"/>
    <x v="4"/>
    <s v="Financial Analyst"/>
    <s v="Bachelors"/>
    <n v="16"/>
    <n v="152254"/>
    <n v="66.91"/>
    <n v="20"/>
    <n v="46"/>
    <n v="112"/>
    <s v="High"/>
    <x v="278"/>
    <x v="1"/>
  </r>
  <r>
    <x v="762"/>
    <x v="758"/>
    <x v="0"/>
    <n v="57"/>
    <s v="Pune"/>
    <x v="0"/>
    <s v="HR Executive"/>
    <s v="Bachelors"/>
    <n v="8"/>
    <n v="98392"/>
    <n v="99.11"/>
    <n v="12"/>
    <n v="25"/>
    <n v="69"/>
    <s v="Medium"/>
    <x v="102"/>
    <x v="0"/>
  </r>
  <r>
    <x v="763"/>
    <x v="759"/>
    <x v="1"/>
    <n v="56"/>
    <s v="Pune"/>
    <x v="2"/>
    <s v="Data Analyst"/>
    <s v="Diploma"/>
    <n v="1"/>
    <n v="176709"/>
    <n v="98.17"/>
    <n v="14"/>
    <n v="51"/>
    <n v="35"/>
    <s v="High"/>
    <x v="108"/>
    <x v="0"/>
  </r>
  <r>
    <x v="764"/>
    <x v="760"/>
    <x v="1"/>
    <n v="40"/>
    <s v="Mumbai"/>
    <x v="4"/>
    <s v="Financial Analyst"/>
    <s v="Masters"/>
    <n v="1"/>
    <n v="122657"/>
    <n v="65.069999999999993"/>
    <n v="9"/>
    <n v="52"/>
    <n v="20"/>
    <s v="Medium"/>
    <x v="399"/>
    <x v="0"/>
  </r>
  <r>
    <x v="765"/>
    <x v="761"/>
    <x v="0"/>
    <n v="54"/>
    <s v="Delhi"/>
    <x v="2"/>
    <s v="DevOps Engineer"/>
    <s v="Masters"/>
    <n v="4"/>
    <n v="74510"/>
    <n v="86.78"/>
    <n v="2"/>
    <n v="34"/>
    <n v="44"/>
    <s v="Low"/>
    <x v="366"/>
    <x v="0"/>
  </r>
  <r>
    <x v="766"/>
    <x v="762"/>
    <x v="0"/>
    <n v="43"/>
    <s v="Mumbai"/>
    <x v="1"/>
    <s v="Sales Executive"/>
    <s v="Bachelors"/>
    <n v="21"/>
    <n v="46941"/>
    <n v="98.37"/>
    <n v="6"/>
    <n v="34"/>
    <n v="21"/>
    <s v="High"/>
    <x v="210"/>
    <x v="0"/>
  </r>
  <r>
    <x v="767"/>
    <x v="763"/>
    <x v="0"/>
    <n v="44"/>
    <s v="Delhi"/>
    <x v="0"/>
    <s v="HR Manager"/>
    <s v="Bachelors"/>
    <n v="14"/>
    <n v="67449"/>
    <n v="99.34"/>
    <n v="4"/>
    <n v="38"/>
    <n v="62"/>
    <s v="Low"/>
    <x v="71"/>
    <x v="0"/>
  </r>
  <r>
    <x v="768"/>
    <x v="764"/>
    <x v="0"/>
    <n v="29"/>
    <s v="Pune"/>
    <x v="2"/>
    <s v="System Admin"/>
    <s v="Diploma"/>
    <n v="4"/>
    <n v="115338"/>
    <n v="97.21"/>
    <n v="9"/>
    <n v="41"/>
    <n v="114"/>
    <s v="Low"/>
    <x v="317"/>
    <x v="1"/>
  </r>
  <r>
    <x v="769"/>
    <x v="765"/>
    <x v="0"/>
    <n v="58"/>
    <s v="Chennai"/>
    <x v="1"/>
    <s v="Sales Executive"/>
    <s v="Diploma"/>
    <n v="1"/>
    <n v="118455"/>
    <n v="68.930000000000007"/>
    <n v="20"/>
    <n v="35"/>
    <n v="6"/>
    <s v="Low"/>
    <x v="353"/>
    <x v="0"/>
  </r>
  <r>
    <x v="770"/>
    <x v="766"/>
    <x v="1"/>
    <n v="45"/>
    <s v="Bangalore"/>
    <x v="4"/>
    <s v="Auditor"/>
    <s v="Masters"/>
    <n v="19"/>
    <n v="66051"/>
    <n v="75.02"/>
    <n v="1"/>
    <n v="23"/>
    <n v="24"/>
    <s v="Medium"/>
    <x v="332"/>
    <x v="0"/>
  </r>
  <r>
    <x v="771"/>
    <x v="767"/>
    <x v="1"/>
    <n v="40"/>
    <s v="Delhi"/>
    <x v="5"/>
    <s v="Content Strategist"/>
    <s v="Bachelors"/>
    <n v="7"/>
    <n v="137321"/>
    <n v="70.73"/>
    <n v="14"/>
    <n v="29"/>
    <n v="109"/>
    <s v="Medium"/>
    <x v="96"/>
    <x v="1"/>
  </r>
  <r>
    <x v="772"/>
    <x v="768"/>
    <x v="0"/>
    <n v="44"/>
    <s v="Hyderabad"/>
    <x v="0"/>
    <s v="HR Executive"/>
    <s v="Masters"/>
    <n v="23"/>
    <n v="76576"/>
    <n v="83.16"/>
    <n v="10"/>
    <n v="58"/>
    <n v="102"/>
    <s v="High"/>
    <x v="59"/>
    <x v="1"/>
  </r>
  <r>
    <x v="773"/>
    <x v="769"/>
    <x v="1"/>
    <n v="54"/>
    <s v="Bangalore"/>
    <x v="4"/>
    <s v="Financial Analyst"/>
    <s v="Masters"/>
    <n v="22"/>
    <n v="110034"/>
    <n v="79.39"/>
    <n v="16"/>
    <n v="19"/>
    <n v="21"/>
    <s v="High"/>
    <x v="207"/>
    <x v="1"/>
  </r>
  <r>
    <x v="774"/>
    <x v="770"/>
    <x v="0"/>
    <n v="46"/>
    <s v="Mumbai"/>
    <x v="5"/>
    <s v="Content Strategist"/>
    <s v="Masters"/>
    <n v="22"/>
    <n v="107442"/>
    <n v="73.02"/>
    <n v="13"/>
    <n v="37"/>
    <n v="36"/>
    <s v="Low"/>
    <x v="15"/>
    <x v="0"/>
  </r>
  <r>
    <x v="775"/>
    <x v="771"/>
    <x v="0"/>
    <n v="32"/>
    <s v="Bangalore"/>
    <x v="1"/>
    <s v="Sales Manager"/>
    <s v="Bachelors"/>
    <n v="7"/>
    <n v="55881"/>
    <n v="97.79"/>
    <n v="15"/>
    <n v="24"/>
    <n v="74"/>
    <s v="Medium"/>
    <x v="383"/>
    <x v="1"/>
  </r>
  <r>
    <x v="776"/>
    <x v="772"/>
    <x v="0"/>
    <n v="24"/>
    <s v="Delhi"/>
    <x v="2"/>
    <s v="DevOps Engineer"/>
    <s v="Bachelors"/>
    <n v="3"/>
    <n v="173535"/>
    <n v="70.28"/>
    <n v="5"/>
    <n v="40"/>
    <n v="109"/>
    <s v="Low"/>
    <x v="400"/>
    <x v="0"/>
  </r>
  <r>
    <x v="777"/>
    <x v="773"/>
    <x v="0"/>
    <n v="45"/>
    <s v="Mumbai"/>
    <x v="1"/>
    <s v="Sales Manager"/>
    <s v="Diploma"/>
    <n v="21"/>
    <n v="72651"/>
    <n v="98.08"/>
    <n v="11"/>
    <n v="21"/>
    <n v="109"/>
    <s v="High"/>
    <x v="401"/>
    <x v="1"/>
  </r>
  <r>
    <x v="778"/>
    <x v="774"/>
    <x v="1"/>
    <n v="49"/>
    <s v="Delhi"/>
    <x v="4"/>
    <s v="Auditor"/>
    <s v="Masters"/>
    <n v="14"/>
    <n v="82501"/>
    <n v="68.040000000000006"/>
    <n v="13"/>
    <n v="21"/>
    <n v="104"/>
    <s v="Medium"/>
    <x v="270"/>
    <x v="1"/>
  </r>
  <r>
    <x v="779"/>
    <x v="775"/>
    <x v="0"/>
    <n v="47"/>
    <s v="Chennai"/>
    <x v="4"/>
    <s v="Accountant"/>
    <s v="MBA"/>
    <n v="12"/>
    <n v="53574"/>
    <n v="76.849999999999994"/>
    <n v="9"/>
    <n v="36"/>
    <n v="55"/>
    <s v="Medium"/>
    <x v="8"/>
    <x v="0"/>
  </r>
  <r>
    <x v="780"/>
    <x v="776"/>
    <x v="0"/>
    <n v="51"/>
    <s v="Mumbai"/>
    <x v="0"/>
    <s v="HR Executive"/>
    <s v="MBA"/>
    <n v="19"/>
    <n v="48791"/>
    <n v="93.64"/>
    <n v="14"/>
    <n v="19"/>
    <n v="75"/>
    <s v="High"/>
    <x v="56"/>
    <x v="1"/>
  </r>
  <r>
    <x v="781"/>
    <x v="777"/>
    <x v="1"/>
    <n v="50"/>
    <s v="Chennai"/>
    <x v="3"/>
    <s v="Operations Executive"/>
    <s v="Diploma"/>
    <n v="5"/>
    <n v="37554"/>
    <n v="91.37"/>
    <n v="6"/>
    <n v="43"/>
    <n v="120"/>
    <s v="Medium"/>
    <x v="15"/>
    <x v="0"/>
  </r>
  <r>
    <x v="782"/>
    <x v="778"/>
    <x v="1"/>
    <n v="56"/>
    <s v="Pune"/>
    <x v="0"/>
    <s v="HR Manager"/>
    <s v="Diploma"/>
    <n v="33"/>
    <n v="78307"/>
    <n v="76.62"/>
    <n v="11"/>
    <n v="9"/>
    <n v="110"/>
    <s v="Medium"/>
    <x v="402"/>
    <x v="1"/>
  </r>
  <r>
    <x v="783"/>
    <x v="779"/>
    <x v="0"/>
    <n v="57"/>
    <s v="Mumbai"/>
    <x v="4"/>
    <s v="Accountant"/>
    <s v="Diploma"/>
    <n v="6"/>
    <n v="50099"/>
    <n v="94.86"/>
    <n v="16"/>
    <n v="51"/>
    <n v="52"/>
    <s v="Low"/>
    <x v="79"/>
    <x v="0"/>
  </r>
  <r>
    <x v="784"/>
    <x v="780"/>
    <x v="1"/>
    <n v="22"/>
    <s v="Mumbai"/>
    <x v="1"/>
    <s v="Sales Manager"/>
    <s v="MBA"/>
    <n v="1"/>
    <n v="40672"/>
    <n v="81.06"/>
    <n v="18"/>
    <n v="42"/>
    <n v="26"/>
    <s v="High"/>
    <x v="183"/>
    <x v="0"/>
  </r>
  <r>
    <x v="785"/>
    <x v="781"/>
    <x v="1"/>
    <n v="24"/>
    <s v="Pune"/>
    <x v="5"/>
    <s v="SEO Analyst"/>
    <s v="Masters"/>
    <n v="0"/>
    <n v="56689"/>
    <n v="69.27"/>
    <n v="4"/>
    <n v="18"/>
    <n v="28"/>
    <s v="High"/>
    <x v="403"/>
    <x v="0"/>
  </r>
  <r>
    <x v="786"/>
    <x v="782"/>
    <x v="1"/>
    <n v="47"/>
    <s v="Delhi"/>
    <x v="0"/>
    <s v="Recruiter"/>
    <s v="Bachelors"/>
    <n v="19"/>
    <n v="43509"/>
    <n v="92.48"/>
    <n v="2"/>
    <n v="32"/>
    <n v="70"/>
    <s v="High"/>
    <x v="120"/>
    <x v="0"/>
  </r>
  <r>
    <x v="787"/>
    <x v="783"/>
    <x v="0"/>
    <n v="56"/>
    <s v="Mumbai"/>
    <x v="4"/>
    <s v="Auditor"/>
    <s v="Bachelors"/>
    <n v="8"/>
    <n v="116691"/>
    <n v="67.64"/>
    <n v="7"/>
    <n v="33"/>
    <n v="50"/>
    <s v="High"/>
    <x v="165"/>
    <x v="0"/>
  </r>
  <r>
    <x v="788"/>
    <x v="784"/>
    <x v="0"/>
    <n v="25"/>
    <s v="Hyderabad"/>
    <x v="0"/>
    <s v="HR Executive"/>
    <s v="Masters"/>
    <n v="4"/>
    <n v="42944"/>
    <n v="83.22"/>
    <n v="1"/>
    <n v="8"/>
    <n v="32"/>
    <s v="Medium"/>
    <x v="404"/>
    <x v="0"/>
  </r>
  <r>
    <x v="789"/>
    <x v="785"/>
    <x v="0"/>
    <n v="30"/>
    <s v="Chennai"/>
    <x v="3"/>
    <s v="Coordinator"/>
    <s v="MBA"/>
    <n v="0"/>
    <n v="45435"/>
    <n v="77.319999999999993"/>
    <n v="13"/>
    <n v="37"/>
    <n v="75"/>
    <s v="Medium"/>
    <x v="134"/>
    <x v="0"/>
  </r>
  <r>
    <x v="790"/>
    <x v="786"/>
    <x v="1"/>
    <n v="44"/>
    <s v="Pune"/>
    <x v="0"/>
    <s v="HR Manager"/>
    <s v="Bachelors"/>
    <n v="21"/>
    <n v="99699"/>
    <n v="82.66"/>
    <n v="5"/>
    <n v="18"/>
    <n v="44"/>
    <s v="Low"/>
    <x v="174"/>
    <x v="0"/>
  </r>
  <r>
    <x v="791"/>
    <x v="787"/>
    <x v="0"/>
    <n v="58"/>
    <s v="Delhi"/>
    <x v="4"/>
    <s v="Auditor"/>
    <s v="Bachelors"/>
    <n v="25"/>
    <n v="143817"/>
    <n v="79.489999999999995"/>
    <n v="1"/>
    <n v="39"/>
    <n v="50"/>
    <s v="Low"/>
    <x v="405"/>
    <x v="0"/>
  </r>
  <r>
    <x v="792"/>
    <x v="788"/>
    <x v="0"/>
    <n v="53"/>
    <s v="Pune"/>
    <x v="1"/>
    <s v="Business Development Executive"/>
    <s v="MBA"/>
    <n v="30"/>
    <n v="66428"/>
    <n v="66.48"/>
    <n v="11"/>
    <n v="15"/>
    <n v="85"/>
    <s v="Low"/>
    <x v="225"/>
    <x v="0"/>
  </r>
  <r>
    <x v="793"/>
    <x v="789"/>
    <x v="1"/>
    <n v="55"/>
    <s v="Hyderabad"/>
    <x v="5"/>
    <s v="SEO Analyst"/>
    <s v="Bachelors"/>
    <n v="32"/>
    <n v="45968"/>
    <n v="88.22"/>
    <n v="16"/>
    <n v="4"/>
    <n v="69"/>
    <s v="High"/>
    <x v="406"/>
    <x v="1"/>
  </r>
  <r>
    <x v="794"/>
    <x v="790"/>
    <x v="1"/>
    <n v="44"/>
    <s v="Bangalore"/>
    <x v="4"/>
    <s v="Accountant"/>
    <s v="MBA"/>
    <n v="12"/>
    <n v="82006"/>
    <n v="69.510000000000005"/>
    <n v="20"/>
    <n v="17"/>
    <n v="115"/>
    <s v="High"/>
    <x v="402"/>
    <x v="1"/>
  </r>
  <r>
    <x v="795"/>
    <x v="791"/>
    <x v="0"/>
    <n v="52"/>
    <s v="Hyderabad"/>
    <x v="0"/>
    <s v="Recruiter"/>
    <s v="Diploma"/>
    <n v="0"/>
    <n v="78631"/>
    <n v="67.77"/>
    <n v="9"/>
    <n v="0"/>
    <n v="55"/>
    <s v="Low"/>
    <x v="276"/>
    <x v="0"/>
  </r>
  <r>
    <x v="796"/>
    <x v="792"/>
    <x v="1"/>
    <n v="52"/>
    <s v="Hyderabad"/>
    <x v="1"/>
    <s v="Business Development Executive"/>
    <s v="MBA"/>
    <n v="19"/>
    <n v="121192"/>
    <n v="74.19"/>
    <n v="17"/>
    <n v="14"/>
    <n v="90"/>
    <s v="High"/>
    <x v="407"/>
    <x v="1"/>
  </r>
  <r>
    <x v="797"/>
    <x v="793"/>
    <x v="1"/>
    <n v="43"/>
    <s v="Chennai"/>
    <x v="2"/>
    <s v="System Admin"/>
    <s v="Masters"/>
    <n v="18"/>
    <n v="138958"/>
    <n v="94.11"/>
    <n v="11"/>
    <n v="57"/>
    <n v="64"/>
    <s v="Medium"/>
    <x v="90"/>
    <x v="0"/>
  </r>
  <r>
    <x v="798"/>
    <x v="794"/>
    <x v="0"/>
    <n v="35"/>
    <s v="Bangalore"/>
    <x v="0"/>
    <s v="HR Manager"/>
    <s v="MBA"/>
    <n v="8"/>
    <n v="49529"/>
    <n v="98"/>
    <n v="17"/>
    <n v="11"/>
    <n v="55"/>
    <s v="High"/>
    <x v="408"/>
    <x v="1"/>
  </r>
  <r>
    <x v="799"/>
    <x v="795"/>
    <x v="1"/>
    <n v="43"/>
    <s v="Mumbai"/>
    <x v="3"/>
    <s v="Operations Executive"/>
    <s v="Diploma"/>
    <n v="11"/>
    <n v="102283"/>
    <n v="99.74"/>
    <n v="4"/>
    <n v="43"/>
    <n v="29"/>
    <s v="Medium"/>
    <x v="181"/>
    <x v="0"/>
  </r>
  <r>
    <x v="800"/>
    <x v="796"/>
    <x v="0"/>
    <n v="40"/>
    <s v="Mumbai"/>
    <x v="5"/>
    <s v="Content Strategist"/>
    <s v="MBA"/>
    <n v="11"/>
    <n v="51298"/>
    <n v="84.3"/>
    <n v="17"/>
    <n v="36"/>
    <n v="90"/>
    <s v="High"/>
    <x v="409"/>
    <x v="1"/>
  </r>
  <r>
    <x v="801"/>
    <x v="797"/>
    <x v="1"/>
    <n v="54"/>
    <s v="Delhi"/>
    <x v="2"/>
    <s v="System Admin"/>
    <s v="Bachelors"/>
    <n v="18"/>
    <n v="72482"/>
    <n v="88.37"/>
    <n v="7"/>
    <n v="8"/>
    <n v="49"/>
    <s v="High"/>
    <x v="112"/>
    <x v="0"/>
  </r>
  <r>
    <x v="802"/>
    <x v="798"/>
    <x v="0"/>
    <n v="45"/>
    <s v="Pune"/>
    <x v="2"/>
    <s v="DevOps Engineer"/>
    <s v="MBA"/>
    <n v="17"/>
    <n v="161714"/>
    <n v="95.32"/>
    <n v="2"/>
    <n v="23"/>
    <n v="62"/>
    <s v="Medium"/>
    <x v="410"/>
    <x v="0"/>
  </r>
  <r>
    <x v="803"/>
    <x v="799"/>
    <x v="1"/>
    <n v="30"/>
    <s v="Chennai"/>
    <x v="3"/>
    <s v="Operations Executive"/>
    <s v="Diploma"/>
    <n v="1"/>
    <n v="90629"/>
    <n v="72.040000000000006"/>
    <n v="3"/>
    <n v="12"/>
    <n v="10"/>
    <s v="Medium"/>
    <x v="411"/>
    <x v="0"/>
  </r>
  <r>
    <x v="804"/>
    <x v="800"/>
    <x v="0"/>
    <n v="43"/>
    <s v="Chennai"/>
    <x v="3"/>
    <s v="Supervisor"/>
    <s v="Masters"/>
    <n v="22"/>
    <n v="55552"/>
    <n v="73.31"/>
    <n v="1"/>
    <n v="4"/>
    <n v="12"/>
    <s v="Medium"/>
    <x v="22"/>
    <x v="0"/>
  </r>
  <r>
    <x v="805"/>
    <x v="801"/>
    <x v="1"/>
    <n v="28"/>
    <s v="Delhi"/>
    <x v="3"/>
    <s v="Operations Executive"/>
    <s v="MBA"/>
    <n v="6"/>
    <n v="80610"/>
    <n v="98.97"/>
    <n v="16"/>
    <n v="12"/>
    <n v="63"/>
    <s v="Low"/>
    <x v="138"/>
    <x v="0"/>
  </r>
  <r>
    <x v="806"/>
    <x v="802"/>
    <x v="0"/>
    <n v="43"/>
    <s v="Bangalore"/>
    <x v="1"/>
    <s v="Sales Executive"/>
    <s v="Masters"/>
    <n v="3"/>
    <n v="119915"/>
    <n v="87.71"/>
    <n v="9"/>
    <n v="49"/>
    <n v="103"/>
    <s v="Low"/>
    <x v="211"/>
    <x v="0"/>
  </r>
  <r>
    <x v="807"/>
    <x v="803"/>
    <x v="1"/>
    <n v="27"/>
    <s v="Pune"/>
    <x v="4"/>
    <s v="Accountant"/>
    <s v="Diploma"/>
    <n v="1"/>
    <n v="87337"/>
    <n v="94.02"/>
    <n v="7"/>
    <n v="31"/>
    <n v="110"/>
    <s v="Low"/>
    <x v="263"/>
    <x v="0"/>
  </r>
  <r>
    <x v="808"/>
    <x v="804"/>
    <x v="0"/>
    <n v="23"/>
    <s v="Mumbai"/>
    <x v="1"/>
    <s v="Sales Executive"/>
    <s v="Bachelors"/>
    <n v="0"/>
    <n v="45879"/>
    <n v="86.14"/>
    <n v="8"/>
    <n v="0"/>
    <n v="117"/>
    <s v="Medium"/>
    <x v="68"/>
    <x v="0"/>
  </r>
  <r>
    <x v="809"/>
    <x v="805"/>
    <x v="1"/>
    <n v="57"/>
    <s v="Chennai"/>
    <x v="1"/>
    <s v="Sales Manager"/>
    <s v="Masters"/>
    <n v="18"/>
    <n v="62409"/>
    <n v="84.66"/>
    <n v="11"/>
    <n v="30"/>
    <n v="69"/>
    <s v="High"/>
    <x v="160"/>
    <x v="1"/>
  </r>
  <r>
    <x v="810"/>
    <x v="806"/>
    <x v="1"/>
    <n v="37"/>
    <s v="Chennai"/>
    <x v="0"/>
    <s v="HR Manager"/>
    <s v="Bachelors"/>
    <n v="11"/>
    <n v="43992"/>
    <n v="89.12"/>
    <n v="1"/>
    <n v="9"/>
    <n v="24"/>
    <s v="High"/>
    <x v="412"/>
    <x v="0"/>
  </r>
  <r>
    <x v="811"/>
    <x v="807"/>
    <x v="0"/>
    <n v="49"/>
    <s v="Bangalore"/>
    <x v="3"/>
    <s v="Supervisor"/>
    <s v="Bachelors"/>
    <n v="25"/>
    <n v="109083"/>
    <n v="74"/>
    <n v="19"/>
    <n v="31"/>
    <n v="87"/>
    <s v="Medium"/>
    <x v="194"/>
    <x v="1"/>
  </r>
  <r>
    <x v="812"/>
    <x v="808"/>
    <x v="1"/>
    <n v="50"/>
    <s v="Bangalore"/>
    <x v="0"/>
    <s v="HR Executive"/>
    <s v="Bachelors"/>
    <n v="25"/>
    <n v="88324"/>
    <n v="67.180000000000007"/>
    <n v="17"/>
    <n v="10"/>
    <n v="60"/>
    <s v="Low"/>
    <x v="152"/>
    <x v="0"/>
  </r>
  <r>
    <x v="813"/>
    <x v="809"/>
    <x v="1"/>
    <n v="52"/>
    <s v="Chennai"/>
    <x v="1"/>
    <s v="Sales Executive"/>
    <s v="Bachelors"/>
    <n v="28"/>
    <n v="131096"/>
    <n v="66.819999999999993"/>
    <n v="2"/>
    <n v="54"/>
    <n v="117"/>
    <s v="Medium"/>
    <x v="31"/>
    <x v="0"/>
  </r>
  <r>
    <x v="814"/>
    <x v="810"/>
    <x v="0"/>
    <n v="58"/>
    <s v="Hyderabad"/>
    <x v="4"/>
    <s v="Accountant"/>
    <s v="Bachelors"/>
    <n v="0"/>
    <n v="98211"/>
    <n v="87.78"/>
    <n v="19"/>
    <n v="45"/>
    <n v="51"/>
    <s v="Medium"/>
    <x v="223"/>
    <x v="0"/>
  </r>
  <r>
    <x v="815"/>
    <x v="811"/>
    <x v="0"/>
    <n v="40"/>
    <s v="Bangalore"/>
    <x v="2"/>
    <s v="Software Engineer"/>
    <s v="Diploma"/>
    <n v="10"/>
    <n v="126309"/>
    <n v="87.33"/>
    <n v="9"/>
    <n v="33"/>
    <n v="114"/>
    <s v="High"/>
    <x v="413"/>
    <x v="1"/>
  </r>
  <r>
    <x v="816"/>
    <x v="812"/>
    <x v="1"/>
    <n v="30"/>
    <s v="Pune"/>
    <x v="0"/>
    <s v="HR Manager"/>
    <s v="Bachelors"/>
    <n v="2"/>
    <n v="66581"/>
    <n v="70.069999999999993"/>
    <n v="12"/>
    <n v="36"/>
    <n v="88"/>
    <s v="Low"/>
    <x v="8"/>
    <x v="0"/>
  </r>
  <r>
    <x v="817"/>
    <x v="813"/>
    <x v="1"/>
    <n v="38"/>
    <s v="Mumbai"/>
    <x v="5"/>
    <s v="Marketing Executive"/>
    <s v="Masters"/>
    <n v="17"/>
    <n v="132839"/>
    <n v="86.92"/>
    <n v="5"/>
    <n v="43"/>
    <n v="43"/>
    <s v="Low"/>
    <x v="222"/>
    <x v="0"/>
  </r>
  <r>
    <x v="818"/>
    <x v="814"/>
    <x v="0"/>
    <n v="42"/>
    <s v="Chennai"/>
    <x v="0"/>
    <s v="Recruiter"/>
    <s v="Masters"/>
    <n v="18"/>
    <n v="64503"/>
    <n v="91.13"/>
    <n v="9"/>
    <n v="35"/>
    <n v="91"/>
    <s v="Medium"/>
    <x v="249"/>
    <x v="1"/>
  </r>
  <r>
    <x v="819"/>
    <x v="815"/>
    <x v="1"/>
    <n v="24"/>
    <s v="Hyderabad"/>
    <x v="1"/>
    <s v="Business Development Executive"/>
    <s v="Diploma"/>
    <n v="3"/>
    <n v="120236"/>
    <n v="77.87"/>
    <n v="13"/>
    <n v="40"/>
    <n v="87"/>
    <s v="High"/>
    <x v="243"/>
    <x v="0"/>
  </r>
  <r>
    <x v="820"/>
    <x v="816"/>
    <x v="0"/>
    <n v="28"/>
    <s v="Bangalore"/>
    <x v="2"/>
    <s v="DevOps Engineer"/>
    <s v="Masters"/>
    <n v="1"/>
    <n v="131701"/>
    <n v="96"/>
    <n v="11"/>
    <n v="45"/>
    <n v="114"/>
    <s v="Low"/>
    <x v="190"/>
    <x v="0"/>
  </r>
  <r>
    <x v="821"/>
    <x v="817"/>
    <x v="1"/>
    <n v="51"/>
    <s v="Bangalore"/>
    <x v="1"/>
    <s v="Sales Executive"/>
    <s v="Bachelors"/>
    <n v="29"/>
    <n v="141676"/>
    <n v="68.95"/>
    <n v="10"/>
    <n v="19"/>
    <n v="22"/>
    <s v="Medium"/>
    <x v="374"/>
    <x v="0"/>
  </r>
  <r>
    <x v="822"/>
    <x v="818"/>
    <x v="0"/>
    <n v="53"/>
    <s v="Hyderabad"/>
    <x v="0"/>
    <s v="HR Manager"/>
    <s v="Masters"/>
    <n v="24"/>
    <n v="60575"/>
    <n v="87.18"/>
    <n v="6"/>
    <n v="42"/>
    <n v="97"/>
    <s v="Medium"/>
    <x v="166"/>
    <x v="0"/>
  </r>
  <r>
    <x v="823"/>
    <x v="819"/>
    <x v="1"/>
    <n v="22"/>
    <s v="Mumbai"/>
    <x v="1"/>
    <s v="Business Development Executive"/>
    <s v="Bachelors"/>
    <n v="0"/>
    <n v="144107"/>
    <n v="88.33"/>
    <n v="14"/>
    <n v="34"/>
    <n v="105"/>
    <s v="Low"/>
    <x v="236"/>
    <x v="0"/>
  </r>
  <r>
    <x v="824"/>
    <x v="820"/>
    <x v="1"/>
    <n v="52"/>
    <s v="Delhi"/>
    <x v="3"/>
    <s v="Supervisor"/>
    <s v="MBA"/>
    <n v="0"/>
    <n v="96341"/>
    <n v="77.86"/>
    <n v="3"/>
    <n v="30"/>
    <n v="14"/>
    <s v="Low"/>
    <x v="414"/>
    <x v="0"/>
  </r>
  <r>
    <x v="825"/>
    <x v="821"/>
    <x v="0"/>
    <n v="23"/>
    <s v="Mumbai"/>
    <x v="1"/>
    <s v="Sales Manager"/>
    <s v="Bachelors"/>
    <n v="0"/>
    <n v="142538"/>
    <n v="76.14"/>
    <n v="17"/>
    <n v="41"/>
    <n v="87"/>
    <s v="High"/>
    <x v="415"/>
    <x v="0"/>
  </r>
  <r>
    <x v="826"/>
    <x v="822"/>
    <x v="0"/>
    <n v="46"/>
    <s v="Pune"/>
    <x v="1"/>
    <s v="Sales Executive"/>
    <s v="Bachelors"/>
    <n v="11"/>
    <n v="56725"/>
    <n v="65.27"/>
    <n v="12"/>
    <n v="43"/>
    <n v="28"/>
    <s v="Medium"/>
    <x v="300"/>
    <x v="0"/>
  </r>
  <r>
    <x v="827"/>
    <x v="823"/>
    <x v="0"/>
    <n v="43"/>
    <s v="Mumbai"/>
    <x v="0"/>
    <s v="HR Manager"/>
    <s v="Diploma"/>
    <n v="6"/>
    <n v="70312"/>
    <n v="76.27"/>
    <n v="10"/>
    <n v="7"/>
    <n v="112"/>
    <s v="Low"/>
    <x v="90"/>
    <x v="0"/>
  </r>
  <r>
    <x v="828"/>
    <x v="824"/>
    <x v="0"/>
    <n v="55"/>
    <s v="Mumbai"/>
    <x v="4"/>
    <s v="Accountant"/>
    <s v="Masters"/>
    <n v="29"/>
    <n v="145852"/>
    <n v="74.91"/>
    <n v="5"/>
    <n v="57"/>
    <n v="23"/>
    <s v="Medium"/>
    <x v="204"/>
    <x v="0"/>
  </r>
  <r>
    <x v="829"/>
    <x v="825"/>
    <x v="0"/>
    <n v="32"/>
    <s v="Bangalore"/>
    <x v="0"/>
    <s v="HR Executive"/>
    <s v="Masters"/>
    <n v="7"/>
    <n v="86539"/>
    <n v="67.86"/>
    <n v="9"/>
    <n v="44"/>
    <n v="81"/>
    <s v="High"/>
    <x v="332"/>
    <x v="0"/>
  </r>
  <r>
    <x v="830"/>
    <x v="826"/>
    <x v="0"/>
    <n v="22"/>
    <s v="Delhi"/>
    <x v="3"/>
    <s v="Coordinator"/>
    <s v="Masters"/>
    <n v="0"/>
    <n v="70563"/>
    <n v="98.78"/>
    <n v="20"/>
    <n v="47"/>
    <n v="24"/>
    <s v="High"/>
    <x v="216"/>
    <x v="0"/>
  </r>
  <r>
    <x v="831"/>
    <x v="827"/>
    <x v="0"/>
    <n v="57"/>
    <s v="Delhi"/>
    <x v="4"/>
    <s v="Auditor"/>
    <s v="Bachelors"/>
    <n v="20"/>
    <n v="114080"/>
    <n v="71.400000000000006"/>
    <n v="2"/>
    <n v="46"/>
    <n v="37"/>
    <s v="Low"/>
    <x v="416"/>
    <x v="0"/>
  </r>
  <r>
    <x v="832"/>
    <x v="828"/>
    <x v="1"/>
    <n v="33"/>
    <s v="Chennai"/>
    <x v="0"/>
    <s v="HR Executive"/>
    <s v="MBA"/>
    <n v="5"/>
    <n v="45619"/>
    <n v="70.83"/>
    <n v="1"/>
    <n v="31"/>
    <n v="115"/>
    <s v="High"/>
    <x v="379"/>
    <x v="0"/>
  </r>
  <r>
    <x v="833"/>
    <x v="829"/>
    <x v="0"/>
    <n v="44"/>
    <s v="Delhi"/>
    <x v="1"/>
    <s v="Business Development Executive"/>
    <s v="MBA"/>
    <n v="5"/>
    <n v="79519"/>
    <n v="75.58"/>
    <n v="14"/>
    <n v="43"/>
    <n v="75"/>
    <s v="High"/>
    <x v="4"/>
    <x v="0"/>
  </r>
  <r>
    <x v="834"/>
    <x v="830"/>
    <x v="1"/>
    <n v="49"/>
    <s v="Mumbai"/>
    <x v="3"/>
    <s v="Operations Executive"/>
    <s v="Diploma"/>
    <n v="26"/>
    <n v="50532"/>
    <n v="71.069999999999993"/>
    <n v="11"/>
    <n v="37"/>
    <n v="113"/>
    <s v="Low"/>
    <x v="274"/>
    <x v="0"/>
  </r>
  <r>
    <x v="835"/>
    <x v="831"/>
    <x v="0"/>
    <n v="34"/>
    <s v="Mumbai"/>
    <x v="2"/>
    <s v="DevOps Engineer"/>
    <s v="MBA"/>
    <n v="0"/>
    <n v="171771"/>
    <n v="89.61"/>
    <n v="14"/>
    <n v="43"/>
    <n v="6"/>
    <s v="Low"/>
    <x v="404"/>
    <x v="0"/>
  </r>
  <r>
    <x v="836"/>
    <x v="832"/>
    <x v="0"/>
    <n v="38"/>
    <s v="Mumbai"/>
    <x v="3"/>
    <s v="Supervisor"/>
    <s v="Diploma"/>
    <n v="0"/>
    <n v="52530"/>
    <n v="96.48"/>
    <n v="14"/>
    <n v="20"/>
    <n v="82"/>
    <s v="Low"/>
    <x v="55"/>
    <x v="0"/>
  </r>
  <r>
    <x v="837"/>
    <x v="833"/>
    <x v="1"/>
    <n v="42"/>
    <s v="Pune"/>
    <x v="5"/>
    <s v="SEO Analyst"/>
    <s v="MBA"/>
    <n v="16"/>
    <n v="99894"/>
    <n v="85.42"/>
    <n v="2"/>
    <n v="5"/>
    <n v="97"/>
    <s v="High"/>
    <x v="344"/>
    <x v="0"/>
  </r>
  <r>
    <x v="838"/>
    <x v="834"/>
    <x v="1"/>
    <n v="33"/>
    <s v="Mumbai"/>
    <x v="2"/>
    <s v="Data Analyst"/>
    <s v="Bachelors"/>
    <n v="9"/>
    <n v="149076"/>
    <n v="98.05"/>
    <n v="17"/>
    <n v="46"/>
    <n v="36"/>
    <s v="Low"/>
    <x v="354"/>
    <x v="0"/>
  </r>
  <r>
    <x v="839"/>
    <x v="835"/>
    <x v="1"/>
    <n v="32"/>
    <s v="Hyderabad"/>
    <x v="2"/>
    <s v="System Admin"/>
    <s v="Bachelors"/>
    <n v="7"/>
    <n v="103506"/>
    <n v="75.69"/>
    <n v="13"/>
    <n v="44"/>
    <n v="17"/>
    <s v="Medium"/>
    <x v="385"/>
    <x v="0"/>
  </r>
  <r>
    <x v="840"/>
    <x v="836"/>
    <x v="1"/>
    <n v="31"/>
    <s v="Pune"/>
    <x v="2"/>
    <s v="Data Analyst"/>
    <s v="Bachelors"/>
    <n v="0"/>
    <n v="129749"/>
    <n v="67.77"/>
    <n v="1"/>
    <n v="17"/>
    <n v="20"/>
    <s v="Medium"/>
    <x v="417"/>
    <x v="0"/>
  </r>
  <r>
    <x v="841"/>
    <x v="837"/>
    <x v="0"/>
    <n v="49"/>
    <s v="Hyderabad"/>
    <x v="0"/>
    <s v="HR Executive"/>
    <s v="Bachelors"/>
    <n v="15"/>
    <n v="84452"/>
    <n v="91.94"/>
    <n v="4"/>
    <n v="48"/>
    <n v="92"/>
    <s v="Medium"/>
    <x v="418"/>
    <x v="0"/>
  </r>
  <r>
    <x v="842"/>
    <x v="838"/>
    <x v="0"/>
    <n v="53"/>
    <s v="Delhi"/>
    <x v="4"/>
    <s v="Financial Analyst"/>
    <s v="Bachelors"/>
    <n v="8"/>
    <n v="72191"/>
    <n v="77.42"/>
    <n v="11"/>
    <n v="27"/>
    <n v="44"/>
    <s v="Low"/>
    <x v="185"/>
    <x v="0"/>
  </r>
  <r>
    <x v="843"/>
    <x v="839"/>
    <x v="1"/>
    <n v="54"/>
    <s v="Pune"/>
    <x v="3"/>
    <s v="Coordinator"/>
    <s v="MBA"/>
    <n v="12"/>
    <n v="85213"/>
    <n v="69.72"/>
    <n v="1"/>
    <n v="36"/>
    <n v="51"/>
    <s v="Low"/>
    <x v="419"/>
    <x v="0"/>
  </r>
  <r>
    <x v="844"/>
    <x v="840"/>
    <x v="1"/>
    <n v="30"/>
    <s v="Mumbai"/>
    <x v="4"/>
    <s v="Accountant"/>
    <s v="Diploma"/>
    <n v="8"/>
    <n v="104396"/>
    <n v="82.45"/>
    <n v="18"/>
    <n v="33"/>
    <n v="75"/>
    <s v="High"/>
    <x v="328"/>
    <x v="0"/>
  </r>
  <r>
    <x v="845"/>
    <x v="841"/>
    <x v="0"/>
    <n v="55"/>
    <s v="Pune"/>
    <x v="1"/>
    <s v="Business Development Executive"/>
    <s v="Bachelors"/>
    <n v="18"/>
    <n v="146521"/>
    <n v="86.88"/>
    <n v="16"/>
    <n v="8"/>
    <n v="81"/>
    <s v="High"/>
    <x v="384"/>
    <x v="1"/>
  </r>
  <r>
    <x v="846"/>
    <x v="842"/>
    <x v="0"/>
    <n v="32"/>
    <s v="Delhi"/>
    <x v="0"/>
    <s v="HR Manager"/>
    <s v="MBA"/>
    <n v="9"/>
    <n v="93277"/>
    <n v="98.37"/>
    <n v="5"/>
    <n v="29"/>
    <n v="102"/>
    <s v="High"/>
    <x v="163"/>
    <x v="1"/>
  </r>
  <r>
    <x v="847"/>
    <x v="843"/>
    <x v="0"/>
    <n v="57"/>
    <s v="Pune"/>
    <x v="1"/>
    <s v="Business Development Executive"/>
    <s v="Masters"/>
    <n v="26"/>
    <n v="126230"/>
    <n v="72.03"/>
    <n v="9"/>
    <n v="44"/>
    <n v="114"/>
    <s v="Medium"/>
    <x v="325"/>
    <x v="1"/>
  </r>
  <r>
    <x v="848"/>
    <x v="844"/>
    <x v="1"/>
    <n v="24"/>
    <s v="Mumbai"/>
    <x v="2"/>
    <s v="Data Analyst"/>
    <s v="Masters"/>
    <n v="1"/>
    <n v="101262"/>
    <n v="91.28"/>
    <n v="7"/>
    <n v="31"/>
    <n v="96"/>
    <s v="High"/>
    <x v="354"/>
    <x v="0"/>
  </r>
  <r>
    <x v="849"/>
    <x v="845"/>
    <x v="0"/>
    <n v="23"/>
    <s v="Hyderabad"/>
    <x v="1"/>
    <s v="Business Development Executive"/>
    <s v="MBA"/>
    <n v="0"/>
    <n v="42849"/>
    <n v="73.819999999999993"/>
    <n v="10"/>
    <n v="60"/>
    <n v="8"/>
    <s v="Low"/>
    <x v="342"/>
    <x v="0"/>
  </r>
  <r>
    <x v="850"/>
    <x v="846"/>
    <x v="1"/>
    <n v="44"/>
    <s v="Mumbai"/>
    <x v="4"/>
    <s v="Accountant"/>
    <s v="MBA"/>
    <n v="18"/>
    <n v="54225"/>
    <n v="80.39"/>
    <n v="19"/>
    <n v="28"/>
    <n v="67"/>
    <s v="Medium"/>
    <x v="402"/>
    <x v="1"/>
  </r>
  <r>
    <x v="851"/>
    <x v="847"/>
    <x v="0"/>
    <n v="43"/>
    <s v="Mumbai"/>
    <x v="3"/>
    <s v="Operations Executive"/>
    <s v="Diploma"/>
    <n v="1"/>
    <n v="80386"/>
    <n v="90.33"/>
    <n v="6"/>
    <n v="0"/>
    <n v="90"/>
    <s v="High"/>
    <x v="248"/>
    <x v="0"/>
  </r>
  <r>
    <x v="852"/>
    <x v="848"/>
    <x v="1"/>
    <n v="35"/>
    <s v="Bangalore"/>
    <x v="3"/>
    <s v="Operations Executive"/>
    <s v="Diploma"/>
    <n v="6"/>
    <n v="57354"/>
    <n v="76.569999999999993"/>
    <n v="4"/>
    <n v="44"/>
    <n v="119"/>
    <s v="Medium"/>
    <x v="226"/>
    <x v="0"/>
  </r>
  <r>
    <x v="853"/>
    <x v="849"/>
    <x v="1"/>
    <n v="43"/>
    <s v="Bangalore"/>
    <x v="5"/>
    <s v="SEO Analyst"/>
    <s v="Masters"/>
    <n v="6"/>
    <n v="80174"/>
    <n v="91.7"/>
    <n v="12"/>
    <n v="28"/>
    <n v="72"/>
    <s v="Medium"/>
    <x v="97"/>
    <x v="0"/>
  </r>
  <r>
    <x v="854"/>
    <x v="850"/>
    <x v="1"/>
    <n v="47"/>
    <s v="Mumbai"/>
    <x v="5"/>
    <s v="SEO Analyst"/>
    <s v="MBA"/>
    <n v="23"/>
    <n v="124820"/>
    <n v="86.49"/>
    <n v="18"/>
    <n v="15"/>
    <n v="57"/>
    <s v="High"/>
    <x v="305"/>
    <x v="1"/>
  </r>
  <r>
    <x v="855"/>
    <x v="851"/>
    <x v="0"/>
    <n v="27"/>
    <s v="Delhi"/>
    <x v="3"/>
    <s v="Supervisor"/>
    <s v="Masters"/>
    <n v="6"/>
    <n v="84131"/>
    <n v="98.3"/>
    <n v="8"/>
    <n v="44"/>
    <n v="68"/>
    <s v="High"/>
    <x v="261"/>
    <x v="0"/>
  </r>
  <r>
    <x v="856"/>
    <x v="852"/>
    <x v="1"/>
    <n v="33"/>
    <s v="Mumbai"/>
    <x v="5"/>
    <s v="Content Strategist"/>
    <s v="Diploma"/>
    <n v="3"/>
    <n v="117828"/>
    <n v="93.09"/>
    <n v="6"/>
    <n v="44"/>
    <n v="101"/>
    <s v="High"/>
    <x v="141"/>
    <x v="0"/>
  </r>
  <r>
    <x v="857"/>
    <x v="853"/>
    <x v="0"/>
    <n v="33"/>
    <s v="Bangalore"/>
    <x v="4"/>
    <s v="Auditor"/>
    <s v="Bachelors"/>
    <n v="0"/>
    <n v="151761"/>
    <n v="86.55"/>
    <n v="4"/>
    <n v="33"/>
    <n v="56"/>
    <s v="Medium"/>
    <x v="104"/>
    <x v="0"/>
  </r>
  <r>
    <x v="858"/>
    <x v="854"/>
    <x v="1"/>
    <n v="49"/>
    <s v="Hyderabad"/>
    <x v="0"/>
    <s v="HR Executive"/>
    <s v="Diploma"/>
    <n v="5"/>
    <n v="76087"/>
    <n v="71.37"/>
    <n v="4"/>
    <n v="4"/>
    <n v="73"/>
    <s v="High"/>
    <x v="288"/>
    <x v="0"/>
  </r>
  <r>
    <x v="859"/>
    <x v="855"/>
    <x v="0"/>
    <n v="24"/>
    <s v="Bangalore"/>
    <x v="1"/>
    <s v="Sales Manager"/>
    <s v="Diploma"/>
    <n v="0"/>
    <n v="132929"/>
    <n v="70.44"/>
    <n v="15"/>
    <n v="3"/>
    <n v="91"/>
    <s v="Medium"/>
    <x v="207"/>
    <x v="0"/>
  </r>
  <r>
    <x v="860"/>
    <x v="856"/>
    <x v="0"/>
    <n v="44"/>
    <s v="Hyderabad"/>
    <x v="5"/>
    <s v="Marketing Executive"/>
    <s v="Bachelors"/>
    <n v="14"/>
    <n v="135044"/>
    <n v="69.290000000000006"/>
    <n v="20"/>
    <n v="29"/>
    <n v="37"/>
    <s v="Low"/>
    <x v="102"/>
    <x v="0"/>
  </r>
  <r>
    <x v="861"/>
    <x v="857"/>
    <x v="0"/>
    <n v="52"/>
    <s v="Mumbai"/>
    <x v="1"/>
    <s v="Sales Manager"/>
    <s v="Masters"/>
    <n v="21"/>
    <n v="67002"/>
    <n v="86.48"/>
    <n v="10"/>
    <n v="13"/>
    <n v="69"/>
    <s v="Medium"/>
    <x v="105"/>
    <x v="0"/>
  </r>
  <r>
    <x v="862"/>
    <x v="858"/>
    <x v="1"/>
    <n v="33"/>
    <s v="Mumbai"/>
    <x v="5"/>
    <s v="Content Strategist"/>
    <s v="Bachelors"/>
    <n v="3"/>
    <n v="124365"/>
    <n v="90.77"/>
    <n v="10"/>
    <n v="54"/>
    <n v="47"/>
    <s v="Low"/>
    <x v="298"/>
    <x v="0"/>
  </r>
  <r>
    <x v="863"/>
    <x v="859"/>
    <x v="0"/>
    <n v="46"/>
    <s v="Chennai"/>
    <x v="5"/>
    <s v="Content Strategist"/>
    <s v="Masters"/>
    <n v="4"/>
    <n v="58373"/>
    <n v="72.97"/>
    <n v="18"/>
    <n v="1"/>
    <n v="100"/>
    <s v="High"/>
    <x v="420"/>
    <x v="1"/>
  </r>
  <r>
    <x v="864"/>
    <x v="860"/>
    <x v="1"/>
    <n v="26"/>
    <s v="Delhi"/>
    <x v="1"/>
    <s v="Sales Executive"/>
    <s v="MBA"/>
    <n v="4"/>
    <n v="118269"/>
    <n v="67.95"/>
    <n v="1"/>
    <n v="38"/>
    <n v="56"/>
    <s v="Low"/>
    <x v="421"/>
    <x v="0"/>
  </r>
  <r>
    <x v="865"/>
    <x v="861"/>
    <x v="1"/>
    <n v="35"/>
    <s v="Bangalore"/>
    <x v="4"/>
    <s v="Financial Analyst"/>
    <s v="Bachelors"/>
    <n v="1"/>
    <n v="54147"/>
    <n v="71.8"/>
    <n v="20"/>
    <n v="9"/>
    <n v="91"/>
    <s v="Low"/>
    <x v="422"/>
    <x v="0"/>
  </r>
  <r>
    <x v="866"/>
    <x v="862"/>
    <x v="0"/>
    <n v="39"/>
    <s v="Mumbai"/>
    <x v="5"/>
    <s v="Content Strategist"/>
    <s v="MBA"/>
    <n v="16"/>
    <n v="122099"/>
    <n v="72.989999999999995"/>
    <n v="20"/>
    <n v="9"/>
    <n v="86"/>
    <s v="Medium"/>
    <x v="423"/>
    <x v="1"/>
  </r>
  <r>
    <x v="867"/>
    <x v="863"/>
    <x v="1"/>
    <n v="34"/>
    <s v="Delhi"/>
    <x v="0"/>
    <s v="Recruiter"/>
    <s v="Diploma"/>
    <n v="4"/>
    <n v="40536"/>
    <n v="94.44"/>
    <n v="13"/>
    <n v="30"/>
    <n v="44"/>
    <s v="Low"/>
    <x v="34"/>
    <x v="0"/>
  </r>
  <r>
    <x v="868"/>
    <x v="864"/>
    <x v="1"/>
    <n v="52"/>
    <s v="Bangalore"/>
    <x v="3"/>
    <s v="Coordinator"/>
    <s v="MBA"/>
    <n v="20"/>
    <n v="83476"/>
    <n v="80.31"/>
    <n v="18"/>
    <n v="20"/>
    <n v="33"/>
    <s v="Medium"/>
    <x v="97"/>
    <x v="0"/>
  </r>
  <r>
    <x v="869"/>
    <x v="865"/>
    <x v="0"/>
    <n v="39"/>
    <s v="Mumbai"/>
    <x v="1"/>
    <s v="Business Development Executive"/>
    <s v="MBA"/>
    <n v="5"/>
    <n v="48715"/>
    <n v="66.75"/>
    <n v="3"/>
    <n v="12"/>
    <n v="38"/>
    <s v="Low"/>
    <x v="424"/>
    <x v="0"/>
  </r>
  <r>
    <x v="870"/>
    <x v="866"/>
    <x v="1"/>
    <n v="43"/>
    <s v="Bangalore"/>
    <x v="0"/>
    <s v="Recruiter"/>
    <s v="Bachelors"/>
    <n v="21"/>
    <n v="67848"/>
    <n v="81.37"/>
    <n v="6"/>
    <n v="37"/>
    <n v="25"/>
    <s v="Medium"/>
    <x v="173"/>
    <x v="0"/>
  </r>
  <r>
    <x v="871"/>
    <x v="867"/>
    <x v="0"/>
    <n v="28"/>
    <s v="Chennai"/>
    <x v="3"/>
    <s v="Coordinator"/>
    <s v="Masters"/>
    <n v="0"/>
    <n v="37483"/>
    <n v="67.36"/>
    <n v="11"/>
    <n v="48"/>
    <n v="52"/>
    <s v="Low"/>
    <x v="112"/>
    <x v="0"/>
  </r>
  <r>
    <x v="872"/>
    <x v="868"/>
    <x v="1"/>
    <n v="55"/>
    <s v="Bangalore"/>
    <x v="0"/>
    <s v="HR Executive"/>
    <s v="Diploma"/>
    <n v="10"/>
    <n v="91296"/>
    <n v="91.43"/>
    <n v="15"/>
    <n v="38"/>
    <n v="43"/>
    <s v="Medium"/>
    <x v="272"/>
    <x v="1"/>
  </r>
  <r>
    <x v="873"/>
    <x v="869"/>
    <x v="1"/>
    <n v="47"/>
    <s v="Bangalore"/>
    <x v="0"/>
    <s v="HR Manager"/>
    <s v="Bachelors"/>
    <n v="10"/>
    <n v="94800"/>
    <n v="91.35"/>
    <n v="8"/>
    <n v="15"/>
    <n v="31"/>
    <s v="Medium"/>
    <x v="288"/>
    <x v="0"/>
  </r>
  <r>
    <x v="874"/>
    <x v="870"/>
    <x v="0"/>
    <n v="29"/>
    <s v="Chennai"/>
    <x v="0"/>
    <s v="HR Executive"/>
    <s v="Diploma"/>
    <n v="5"/>
    <n v="59980"/>
    <n v="97.97"/>
    <n v="11"/>
    <n v="54"/>
    <n v="38"/>
    <s v="Low"/>
    <x v="302"/>
    <x v="0"/>
  </r>
  <r>
    <x v="875"/>
    <x v="871"/>
    <x v="1"/>
    <n v="33"/>
    <s v="Pune"/>
    <x v="3"/>
    <s v="Operations Executive"/>
    <s v="Diploma"/>
    <n v="8"/>
    <n v="99341"/>
    <n v="80.67"/>
    <n v="4"/>
    <n v="41"/>
    <n v="13"/>
    <s v="Medium"/>
    <x v="425"/>
    <x v="0"/>
  </r>
  <r>
    <x v="876"/>
    <x v="872"/>
    <x v="1"/>
    <n v="23"/>
    <s v="Mumbai"/>
    <x v="5"/>
    <s v="Marketing Executive"/>
    <s v="Masters"/>
    <n v="0"/>
    <n v="59063"/>
    <n v="68.790000000000006"/>
    <n v="8"/>
    <n v="37"/>
    <n v="60"/>
    <s v="Low"/>
    <x v="14"/>
    <x v="0"/>
  </r>
  <r>
    <x v="877"/>
    <x v="873"/>
    <x v="0"/>
    <n v="39"/>
    <s v="Delhi"/>
    <x v="1"/>
    <s v="Sales Manager"/>
    <s v="Diploma"/>
    <n v="11"/>
    <n v="63526"/>
    <n v="83.34"/>
    <n v="9"/>
    <n v="6"/>
    <n v="41"/>
    <s v="Low"/>
    <x v="293"/>
    <x v="0"/>
  </r>
  <r>
    <x v="878"/>
    <x v="874"/>
    <x v="0"/>
    <n v="48"/>
    <s v="Bangalore"/>
    <x v="1"/>
    <s v="Sales Manager"/>
    <s v="Bachelors"/>
    <n v="16"/>
    <n v="44625"/>
    <n v="69.09"/>
    <n v="1"/>
    <n v="24"/>
    <n v="41"/>
    <s v="Medium"/>
    <x v="22"/>
    <x v="0"/>
  </r>
  <r>
    <x v="879"/>
    <x v="875"/>
    <x v="0"/>
    <n v="41"/>
    <s v="Delhi"/>
    <x v="5"/>
    <s v="Marketing Executive"/>
    <s v="Masters"/>
    <n v="17"/>
    <n v="137053"/>
    <n v="86.79"/>
    <n v="11"/>
    <n v="40"/>
    <n v="115"/>
    <s v="High"/>
    <x v="103"/>
    <x v="1"/>
  </r>
  <r>
    <x v="880"/>
    <x v="876"/>
    <x v="0"/>
    <n v="43"/>
    <s v="Mumbai"/>
    <x v="4"/>
    <s v="Auditor"/>
    <s v="Masters"/>
    <n v="11"/>
    <n v="159575"/>
    <n v="94.52"/>
    <n v="3"/>
    <n v="49"/>
    <n v="45"/>
    <s v="High"/>
    <x v="256"/>
    <x v="0"/>
  </r>
  <r>
    <x v="881"/>
    <x v="877"/>
    <x v="0"/>
    <n v="40"/>
    <s v="Hyderabad"/>
    <x v="2"/>
    <s v="DevOps Engineer"/>
    <s v="Bachelors"/>
    <n v="8"/>
    <n v="143776"/>
    <n v="97.48"/>
    <n v="14"/>
    <n v="38"/>
    <n v="83"/>
    <s v="Medium"/>
    <x v="89"/>
    <x v="1"/>
  </r>
  <r>
    <x v="882"/>
    <x v="878"/>
    <x v="0"/>
    <n v="33"/>
    <s v="Delhi"/>
    <x v="3"/>
    <s v="Operations Executive"/>
    <s v="Bachelors"/>
    <n v="9"/>
    <n v="80635"/>
    <n v="75.400000000000006"/>
    <n v="19"/>
    <n v="30"/>
    <n v="44"/>
    <s v="High"/>
    <x v="333"/>
    <x v="1"/>
  </r>
  <r>
    <x v="883"/>
    <x v="879"/>
    <x v="1"/>
    <n v="49"/>
    <s v="Chennai"/>
    <x v="3"/>
    <s v="Supervisor"/>
    <s v="Masters"/>
    <n v="12"/>
    <n v="77378"/>
    <n v="86.07"/>
    <n v="14"/>
    <n v="31"/>
    <n v="60"/>
    <s v="High"/>
    <x v="426"/>
    <x v="1"/>
  </r>
  <r>
    <x v="884"/>
    <x v="880"/>
    <x v="0"/>
    <n v="22"/>
    <s v="Hyderabad"/>
    <x v="3"/>
    <s v="Operations Executive"/>
    <s v="Bachelors"/>
    <n v="1"/>
    <n v="52809"/>
    <n v="66.62"/>
    <n v="2"/>
    <n v="54"/>
    <n v="8"/>
    <s v="Medium"/>
    <x v="427"/>
    <x v="0"/>
  </r>
  <r>
    <x v="885"/>
    <x v="881"/>
    <x v="1"/>
    <n v="27"/>
    <s v="Delhi"/>
    <x v="2"/>
    <s v="Software Engineer"/>
    <s v="MBA"/>
    <n v="2"/>
    <n v="165669"/>
    <n v="88.37"/>
    <n v="17"/>
    <n v="36"/>
    <n v="16"/>
    <s v="Medium"/>
    <x v="149"/>
    <x v="0"/>
  </r>
  <r>
    <x v="886"/>
    <x v="882"/>
    <x v="0"/>
    <n v="33"/>
    <s v="Pune"/>
    <x v="5"/>
    <s v="Marketing Executive"/>
    <s v="Bachelors"/>
    <n v="2"/>
    <n v="101902"/>
    <n v="72.38"/>
    <n v="15"/>
    <n v="22"/>
    <n v="9"/>
    <s v="Medium"/>
    <x v="369"/>
    <x v="0"/>
  </r>
  <r>
    <x v="887"/>
    <x v="883"/>
    <x v="1"/>
    <n v="39"/>
    <s v="Mumbai"/>
    <x v="5"/>
    <s v="SEO Analyst"/>
    <s v="MBA"/>
    <n v="2"/>
    <n v="100755"/>
    <n v="84.91"/>
    <n v="2"/>
    <n v="51"/>
    <n v="103"/>
    <s v="Low"/>
    <x v="260"/>
    <x v="0"/>
  </r>
  <r>
    <x v="888"/>
    <x v="884"/>
    <x v="1"/>
    <n v="57"/>
    <s v="Bangalore"/>
    <x v="3"/>
    <s v="Operations Executive"/>
    <s v="Diploma"/>
    <n v="5"/>
    <n v="119707"/>
    <n v="71.66"/>
    <n v="20"/>
    <n v="47"/>
    <n v="87"/>
    <s v="High"/>
    <x v="118"/>
    <x v="1"/>
  </r>
  <r>
    <x v="889"/>
    <x v="885"/>
    <x v="0"/>
    <n v="55"/>
    <s v="Delhi"/>
    <x v="4"/>
    <s v="Auditor"/>
    <s v="Bachelors"/>
    <n v="33"/>
    <n v="137157"/>
    <n v="79.16"/>
    <n v="7"/>
    <n v="58"/>
    <n v="113"/>
    <s v="Medium"/>
    <x v="272"/>
    <x v="1"/>
  </r>
  <r>
    <x v="890"/>
    <x v="886"/>
    <x v="1"/>
    <n v="34"/>
    <s v="Pune"/>
    <x v="1"/>
    <s v="Sales Executive"/>
    <s v="MBA"/>
    <n v="12"/>
    <n v="38450"/>
    <n v="73.599999999999994"/>
    <n v="17"/>
    <n v="58"/>
    <n v="96"/>
    <s v="Medium"/>
    <x v="213"/>
    <x v="1"/>
  </r>
  <r>
    <x v="891"/>
    <x v="887"/>
    <x v="0"/>
    <n v="58"/>
    <s v="Mumbai"/>
    <x v="1"/>
    <s v="Sales Executive"/>
    <s v="MBA"/>
    <n v="34"/>
    <n v="96460"/>
    <n v="87.8"/>
    <n v="8"/>
    <n v="58"/>
    <n v="67"/>
    <s v="Medium"/>
    <x v="407"/>
    <x v="1"/>
  </r>
  <r>
    <x v="892"/>
    <x v="888"/>
    <x v="1"/>
    <n v="43"/>
    <s v="Pune"/>
    <x v="5"/>
    <s v="Marketing Executive"/>
    <s v="MBA"/>
    <n v="8"/>
    <n v="76489"/>
    <n v="66.48"/>
    <n v="3"/>
    <n v="0"/>
    <n v="59"/>
    <s v="Low"/>
    <x v="158"/>
    <x v="0"/>
  </r>
  <r>
    <x v="893"/>
    <x v="889"/>
    <x v="0"/>
    <n v="29"/>
    <s v="Pune"/>
    <x v="5"/>
    <s v="SEO Analyst"/>
    <s v="MBA"/>
    <n v="7"/>
    <n v="106988"/>
    <n v="94.67"/>
    <n v="7"/>
    <n v="54"/>
    <n v="79"/>
    <s v="Low"/>
    <x v="302"/>
    <x v="0"/>
  </r>
  <r>
    <x v="894"/>
    <x v="890"/>
    <x v="1"/>
    <n v="48"/>
    <s v="Hyderabad"/>
    <x v="3"/>
    <s v="Supervisor"/>
    <s v="MBA"/>
    <n v="3"/>
    <n v="43008"/>
    <n v="95.55"/>
    <n v="3"/>
    <n v="24"/>
    <n v="11"/>
    <s v="Low"/>
    <x v="428"/>
    <x v="0"/>
  </r>
  <r>
    <x v="895"/>
    <x v="891"/>
    <x v="1"/>
    <n v="23"/>
    <s v="Hyderabad"/>
    <x v="1"/>
    <s v="Sales Manager"/>
    <s v="Diploma"/>
    <n v="1"/>
    <n v="97506"/>
    <n v="84.2"/>
    <n v="14"/>
    <n v="2"/>
    <n v="64"/>
    <s v="Low"/>
    <x v="257"/>
    <x v="0"/>
  </r>
  <r>
    <x v="896"/>
    <x v="892"/>
    <x v="1"/>
    <n v="35"/>
    <s v="Delhi"/>
    <x v="0"/>
    <s v="HR Executive"/>
    <s v="Masters"/>
    <n v="2"/>
    <n v="50091"/>
    <n v="95.54"/>
    <n v="10"/>
    <n v="52"/>
    <n v="104"/>
    <s v="High"/>
    <x v="429"/>
    <x v="0"/>
  </r>
  <r>
    <x v="897"/>
    <x v="893"/>
    <x v="0"/>
    <n v="57"/>
    <s v="Hyderabad"/>
    <x v="2"/>
    <s v="DevOps Engineer"/>
    <s v="Masters"/>
    <n v="9"/>
    <n v="87348"/>
    <n v="78.36"/>
    <n v="3"/>
    <n v="16"/>
    <n v="22"/>
    <s v="Low"/>
    <x v="430"/>
    <x v="0"/>
  </r>
  <r>
    <x v="898"/>
    <x v="894"/>
    <x v="1"/>
    <n v="28"/>
    <s v="Hyderabad"/>
    <x v="0"/>
    <s v="Recruiter"/>
    <s v="Diploma"/>
    <n v="0"/>
    <n v="50165"/>
    <n v="99.03"/>
    <n v="17"/>
    <n v="8"/>
    <n v="10"/>
    <s v="Low"/>
    <x v="79"/>
    <x v="0"/>
  </r>
  <r>
    <x v="899"/>
    <x v="895"/>
    <x v="1"/>
    <n v="39"/>
    <s v="Bangalore"/>
    <x v="0"/>
    <s v="HR Executive"/>
    <s v="Bachelors"/>
    <n v="17"/>
    <n v="47437"/>
    <n v="65.2"/>
    <n v="12"/>
    <n v="16"/>
    <n v="117"/>
    <s v="High"/>
    <x v="207"/>
    <x v="1"/>
  </r>
  <r>
    <x v="900"/>
    <x v="896"/>
    <x v="1"/>
    <n v="57"/>
    <s v="Mumbai"/>
    <x v="1"/>
    <s v="Sales Manager"/>
    <s v="Masters"/>
    <n v="12"/>
    <n v="132196"/>
    <n v="67.33"/>
    <n v="14"/>
    <n v="51"/>
    <n v="19"/>
    <s v="High"/>
    <x v="127"/>
    <x v="0"/>
  </r>
  <r>
    <x v="901"/>
    <x v="897"/>
    <x v="1"/>
    <n v="56"/>
    <s v="Bangalore"/>
    <x v="2"/>
    <s v="Data Analyst"/>
    <s v="Masters"/>
    <n v="14"/>
    <n v="60223"/>
    <n v="76.040000000000006"/>
    <n v="2"/>
    <n v="8"/>
    <n v="66"/>
    <s v="Medium"/>
    <x v="257"/>
    <x v="0"/>
  </r>
  <r>
    <x v="902"/>
    <x v="898"/>
    <x v="0"/>
    <n v="32"/>
    <s v="Bangalore"/>
    <x v="0"/>
    <s v="HR Executive"/>
    <s v="Diploma"/>
    <n v="2"/>
    <n v="48589"/>
    <n v="93.19"/>
    <n v="14"/>
    <n v="28"/>
    <n v="81"/>
    <s v="Low"/>
    <x v="431"/>
    <x v="0"/>
  </r>
  <r>
    <x v="903"/>
    <x v="899"/>
    <x v="0"/>
    <n v="40"/>
    <s v="Chennai"/>
    <x v="3"/>
    <s v="Supervisor"/>
    <s v="Bachelors"/>
    <n v="16"/>
    <n v="115016"/>
    <n v="77.27"/>
    <n v="6"/>
    <n v="6"/>
    <n v="34"/>
    <s v="Low"/>
    <x v="20"/>
    <x v="0"/>
  </r>
  <r>
    <x v="904"/>
    <x v="900"/>
    <x v="1"/>
    <n v="24"/>
    <s v="Hyderabad"/>
    <x v="5"/>
    <s v="Marketing Executive"/>
    <s v="Bachelors"/>
    <n v="1"/>
    <n v="112552"/>
    <n v="65.989999999999995"/>
    <n v="3"/>
    <n v="60"/>
    <n v="72"/>
    <s v="High"/>
    <x v="404"/>
    <x v="0"/>
  </r>
  <r>
    <x v="905"/>
    <x v="901"/>
    <x v="0"/>
    <n v="50"/>
    <s v="Delhi"/>
    <x v="1"/>
    <s v="Sales Executive"/>
    <s v="MBA"/>
    <n v="16"/>
    <n v="132910"/>
    <n v="73.400000000000006"/>
    <n v="3"/>
    <n v="5"/>
    <n v="90"/>
    <s v="Medium"/>
    <x v="62"/>
    <x v="0"/>
  </r>
  <r>
    <x v="906"/>
    <x v="902"/>
    <x v="1"/>
    <n v="58"/>
    <s v="Pune"/>
    <x v="4"/>
    <s v="Auditor"/>
    <s v="Diploma"/>
    <n v="8"/>
    <n v="122005"/>
    <n v="91.36"/>
    <n v="1"/>
    <n v="35"/>
    <n v="102"/>
    <s v="High"/>
    <x v="187"/>
    <x v="0"/>
  </r>
  <r>
    <x v="907"/>
    <x v="903"/>
    <x v="1"/>
    <n v="33"/>
    <s v="Delhi"/>
    <x v="2"/>
    <s v="DevOps Engineer"/>
    <s v="Masters"/>
    <n v="7"/>
    <n v="75151"/>
    <n v="82.8"/>
    <n v="14"/>
    <n v="59"/>
    <n v="105"/>
    <s v="Medium"/>
    <x v="216"/>
    <x v="1"/>
  </r>
  <r>
    <x v="908"/>
    <x v="904"/>
    <x v="0"/>
    <n v="22"/>
    <s v="Bangalore"/>
    <x v="5"/>
    <s v="Marketing Executive"/>
    <s v="MBA"/>
    <n v="1"/>
    <n v="125806"/>
    <n v="72.39"/>
    <n v="16"/>
    <n v="17"/>
    <n v="45"/>
    <s v="Low"/>
    <x v="432"/>
    <x v="0"/>
  </r>
  <r>
    <x v="909"/>
    <x v="905"/>
    <x v="0"/>
    <n v="47"/>
    <s v="Chennai"/>
    <x v="5"/>
    <s v="Content Strategist"/>
    <s v="Diploma"/>
    <n v="9"/>
    <n v="125060"/>
    <n v="70.569999999999993"/>
    <n v="15"/>
    <n v="5"/>
    <n v="24"/>
    <s v="Medium"/>
    <x v="392"/>
    <x v="0"/>
  </r>
  <r>
    <x v="910"/>
    <x v="906"/>
    <x v="0"/>
    <n v="45"/>
    <s v="Hyderabad"/>
    <x v="1"/>
    <s v="Business Development Executive"/>
    <s v="MBA"/>
    <n v="17"/>
    <n v="30613"/>
    <n v="72.349999999999994"/>
    <n v="1"/>
    <n v="36"/>
    <n v="5"/>
    <s v="Low"/>
    <x v="433"/>
    <x v="0"/>
  </r>
  <r>
    <x v="911"/>
    <x v="907"/>
    <x v="1"/>
    <n v="43"/>
    <s v="Bangalore"/>
    <x v="1"/>
    <s v="Business Development Executive"/>
    <s v="Masters"/>
    <n v="12"/>
    <n v="94064"/>
    <n v="92.66"/>
    <n v="5"/>
    <n v="25"/>
    <n v="92"/>
    <s v="Low"/>
    <x v="149"/>
    <x v="0"/>
  </r>
  <r>
    <x v="912"/>
    <x v="908"/>
    <x v="0"/>
    <n v="22"/>
    <s v="Hyderabad"/>
    <x v="5"/>
    <s v="Marketing Executive"/>
    <s v="Diploma"/>
    <n v="1"/>
    <n v="77638"/>
    <n v="89.94"/>
    <n v="6"/>
    <n v="14"/>
    <n v="116"/>
    <s v="Low"/>
    <x v="195"/>
    <x v="0"/>
  </r>
  <r>
    <x v="913"/>
    <x v="909"/>
    <x v="0"/>
    <n v="52"/>
    <s v="Hyderabad"/>
    <x v="2"/>
    <s v="Software Engineer"/>
    <s v="Masters"/>
    <n v="0"/>
    <n v="135857"/>
    <n v="76.650000000000006"/>
    <n v="12"/>
    <n v="4"/>
    <n v="34"/>
    <s v="Low"/>
    <x v="74"/>
    <x v="0"/>
  </r>
  <r>
    <x v="914"/>
    <x v="910"/>
    <x v="0"/>
    <n v="44"/>
    <s v="Delhi"/>
    <x v="5"/>
    <s v="Content Strategist"/>
    <s v="Diploma"/>
    <n v="19"/>
    <n v="120132"/>
    <n v="93.49"/>
    <n v="16"/>
    <n v="58"/>
    <n v="14"/>
    <s v="High"/>
    <x v="224"/>
    <x v="0"/>
  </r>
  <r>
    <x v="915"/>
    <x v="911"/>
    <x v="0"/>
    <n v="41"/>
    <s v="Mumbai"/>
    <x v="3"/>
    <s v="Supervisor"/>
    <s v="Diploma"/>
    <n v="20"/>
    <n v="64983"/>
    <n v="92.66"/>
    <n v="6"/>
    <n v="54"/>
    <n v="23"/>
    <s v="Medium"/>
    <x v="29"/>
    <x v="0"/>
  </r>
  <r>
    <x v="916"/>
    <x v="912"/>
    <x v="0"/>
    <n v="41"/>
    <s v="Chennai"/>
    <x v="2"/>
    <s v="Data Analyst"/>
    <s v="MBA"/>
    <n v="14"/>
    <n v="160213"/>
    <n v="93.34"/>
    <n v="6"/>
    <n v="43"/>
    <n v="53"/>
    <s v="High"/>
    <x v="391"/>
    <x v="0"/>
  </r>
  <r>
    <x v="917"/>
    <x v="913"/>
    <x v="0"/>
    <n v="54"/>
    <s v="Bangalore"/>
    <x v="5"/>
    <s v="Marketing Executive"/>
    <s v="Bachelors"/>
    <n v="8"/>
    <n v="75162"/>
    <n v="87.9"/>
    <n v="16"/>
    <n v="7"/>
    <n v="46"/>
    <s v="Low"/>
    <x v="138"/>
    <x v="0"/>
  </r>
  <r>
    <x v="918"/>
    <x v="914"/>
    <x v="1"/>
    <n v="57"/>
    <s v="Delhi"/>
    <x v="1"/>
    <s v="Business Development Executive"/>
    <s v="Bachelors"/>
    <n v="6"/>
    <n v="118606"/>
    <n v="67.430000000000007"/>
    <n v="7"/>
    <n v="48"/>
    <n v="53"/>
    <s v="High"/>
    <x v="434"/>
    <x v="0"/>
  </r>
  <r>
    <x v="919"/>
    <x v="915"/>
    <x v="0"/>
    <n v="24"/>
    <s v="Pune"/>
    <x v="1"/>
    <s v="Business Development Executive"/>
    <s v="Diploma"/>
    <n v="2"/>
    <n v="128025"/>
    <n v="74.25"/>
    <n v="10"/>
    <n v="33"/>
    <n v="50"/>
    <s v="Medium"/>
    <x v="393"/>
    <x v="0"/>
  </r>
  <r>
    <x v="920"/>
    <x v="916"/>
    <x v="0"/>
    <n v="27"/>
    <s v="Pune"/>
    <x v="1"/>
    <s v="Sales Executive"/>
    <s v="Bachelors"/>
    <n v="5"/>
    <n v="85412"/>
    <n v="87.68"/>
    <n v="14"/>
    <n v="5"/>
    <n v="99"/>
    <s v="High"/>
    <x v="435"/>
    <x v="1"/>
  </r>
  <r>
    <x v="921"/>
    <x v="917"/>
    <x v="0"/>
    <n v="46"/>
    <s v="Pune"/>
    <x v="1"/>
    <s v="Sales Executive"/>
    <s v="MBA"/>
    <n v="19"/>
    <n v="131497"/>
    <n v="88.33"/>
    <n v="10"/>
    <n v="59"/>
    <n v="112"/>
    <s v="High"/>
    <x v="214"/>
    <x v="1"/>
  </r>
  <r>
    <x v="922"/>
    <x v="918"/>
    <x v="1"/>
    <n v="45"/>
    <s v="Chennai"/>
    <x v="0"/>
    <s v="HR Manager"/>
    <s v="Masters"/>
    <n v="19"/>
    <n v="79798"/>
    <n v="88.12"/>
    <n v="19"/>
    <n v="56"/>
    <n v="24"/>
    <s v="Medium"/>
    <x v="269"/>
    <x v="0"/>
  </r>
  <r>
    <x v="923"/>
    <x v="919"/>
    <x v="1"/>
    <n v="52"/>
    <s v="Bangalore"/>
    <x v="1"/>
    <s v="Business Development Executive"/>
    <s v="Diploma"/>
    <n v="18"/>
    <n v="51047"/>
    <n v="84.58"/>
    <n v="13"/>
    <n v="48"/>
    <n v="74"/>
    <s v="Low"/>
    <x v="207"/>
    <x v="1"/>
  </r>
  <r>
    <x v="924"/>
    <x v="920"/>
    <x v="0"/>
    <n v="34"/>
    <s v="Hyderabad"/>
    <x v="4"/>
    <s v="Accountant"/>
    <s v="Diploma"/>
    <n v="3"/>
    <n v="98915"/>
    <n v="77.02"/>
    <n v="8"/>
    <n v="29"/>
    <n v="34"/>
    <s v="Low"/>
    <x v="436"/>
    <x v="0"/>
  </r>
  <r>
    <x v="925"/>
    <x v="921"/>
    <x v="0"/>
    <n v="29"/>
    <s v="Pune"/>
    <x v="5"/>
    <s v="Marketing Executive"/>
    <s v="Masters"/>
    <n v="2"/>
    <n v="102670"/>
    <n v="96.75"/>
    <n v="4"/>
    <n v="30"/>
    <n v="104"/>
    <s v="Low"/>
    <x v="243"/>
    <x v="0"/>
  </r>
  <r>
    <x v="926"/>
    <x v="922"/>
    <x v="0"/>
    <n v="45"/>
    <s v="Mumbai"/>
    <x v="3"/>
    <s v="Operations Executive"/>
    <s v="Masters"/>
    <n v="14"/>
    <n v="84686"/>
    <n v="65.19"/>
    <n v="8"/>
    <n v="37"/>
    <n v="82"/>
    <s v="Low"/>
    <x v="82"/>
    <x v="0"/>
  </r>
  <r>
    <x v="927"/>
    <x v="923"/>
    <x v="1"/>
    <n v="34"/>
    <s v="Chennai"/>
    <x v="4"/>
    <s v="Financial Analyst"/>
    <s v="Masters"/>
    <n v="1"/>
    <n v="72147"/>
    <n v="65.39"/>
    <n v="10"/>
    <n v="32"/>
    <n v="15"/>
    <s v="Medium"/>
    <x v="363"/>
    <x v="0"/>
  </r>
  <r>
    <x v="928"/>
    <x v="924"/>
    <x v="1"/>
    <n v="33"/>
    <s v="Mumbai"/>
    <x v="2"/>
    <s v="Software Engineer"/>
    <s v="Bachelors"/>
    <n v="9"/>
    <n v="93312"/>
    <n v="94.22"/>
    <n v="1"/>
    <n v="27"/>
    <n v="81"/>
    <s v="High"/>
    <x v="74"/>
    <x v="0"/>
  </r>
  <r>
    <x v="929"/>
    <x v="925"/>
    <x v="1"/>
    <n v="31"/>
    <s v="Delhi"/>
    <x v="3"/>
    <s v="Operations Executive"/>
    <s v="Masters"/>
    <n v="5"/>
    <n v="75964"/>
    <n v="99.81"/>
    <n v="6"/>
    <n v="24"/>
    <n v="90"/>
    <s v="High"/>
    <x v="36"/>
    <x v="0"/>
  </r>
  <r>
    <x v="930"/>
    <x v="926"/>
    <x v="1"/>
    <n v="36"/>
    <s v="Mumbai"/>
    <x v="2"/>
    <s v="Data Analyst"/>
    <s v="Bachelors"/>
    <n v="7"/>
    <n v="93556"/>
    <n v="82.04"/>
    <n v="7"/>
    <n v="37"/>
    <n v="24"/>
    <s v="Medium"/>
    <x v="14"/>
    <x v="0"/>
  </r>
  <r>
    <x v="931"/>
    <x v="927"/>
    <x v="0"/>
    <n v="36"/>
    <s v="Chennai"/>
    <x v="2"/>
    <s v="DevOps Engineer"/>
    <s v="Bachelors"/>
    <n v="6"/>
    <n v="84360"/>
    <n v="74.06"/>
    <n v="1"/>
    <n v="0"/>
    <n v="17"/>
    <s v="Medium"/>
    <x v="437"/>
    <x v="0"/>
  </r>
  <r>
    <x v="932"/>
    <x v="928"/>
    <x v="0"/>
    <n v="33"/>
    <s v="Bangalore"/>
    <x v="0"/>
    <s v="Recruiter"/>
    <s v="Bachelors"/>
    <n v="7"/>
    <n v="95834"/>
    <n v="74.290000000000006"/>
    <n v="12"/>
    <n v="0"/>
    <n v="64"/>
    <s v="Low"/>
    <x v="248"/>
    <x v="0"/>
  </r>
  <r>
    <x v="933"/>
    <x v="929"/>
    <x v="0"/>
    <n v="31"/>
    <s v="Bangalore"/>
    <x v="0"/>
    <s v="HR Manager"/>
    <s v="Diploma"/>
    <n v="6"/>
    <n v="83010"/>
    <n v="88.02"/>
    <n v="4"/>
    <n v="52"/>
    <n v="34"/>
    <s v="Medium"/>
    <x v="320"/>
    <x v="0"/>
  </r>
  <r>
    <x v="934"/>
    <x v="930"/>
    <x v="1"/>
    <n v="40"/>
    <s v="Bangalore"/>
    <x v="4"/>
    <s v="Accountant"/>
    <s v="Diploma"/>
    <n v="15"/>
    <n v="88451"/>
    <n v="84.09"/>
    <n v="4"/>
    <n v="28"/>
    <n v="24"/>
    <s v="Medium"/>
    <x v="438"/>
    <x v="0"/>
  </r>
  <r>
    <x v="935"/>
    <x v="931"/>
    <x v="1"/>
    <n v="56"/>
    <s v="Pune"/>
    <x v="3"/>
    <s v="Supervisor"/>
    <s v="Masters"/>
    <n v="13"/>
    <n v="100123"/>
    <n v="81.44"/>
    <n v="13"/>
    <n v="7"/>
    <n v="103"/>
    <s v="High"/>
    <x v="193"/>
    <x v="1"/>
  </r>
  <r>
    <x v="936"/>
    <x v="932"/>
    <x v="1"/>
    <n v="47"/>
    <s v="Hyderabad"/>
    <x v="2"/>
    <s v="DevOps Engineer"/>
    <s v="MBA"/>
    <n v="12"/>
    <n v="167436"/>
    <n v="82.16"/>
    <n v="11"/>
    <n v="16"/>
    <n v="79"/>
    <s v="Medium"/>
    <x v="439"/>
    <x v="1"/>
  </r>
  <r>
    <x v="937"/>
    <x v="933"/>
    <x v="0"/>
    <n v="26"/>
    <s v="Delhi"/>
    <x v="4"/>
    <s v="Accountant"/>
    <s v="MBA"/>
    <n v="1"/>
    <n v="143790"/>
    <n v="72.19"/>
    <n v="16"/>
    <n v="3"/>
    <n v="82"/>
    <s v="High"/>
    <x v="227"/>
    <x v="0"/>
  </r>
  <r>
    <x v="938"/>
    <x v="934"/>
    <x v="1"/>
    <n v="27"/>
    <s v="Mumbai"/>
    <x v="1"/>
    <s v="Sales Executive"/>
    <s v="Masters"/>
    <n v="1"/>
    <n v="124926"/>
    <n v="76.09"/>
    <n v="6"/>
    <n v="18"/>
    <n v="92"/>
    <s v="Low"/>
    <x v="294"/>
    <x v="0"/>
  </r>
  <r>
    <x v="939"/>
    <x v="935"/>
    <x v="0"/>
    <n v="30"/>
    <s v="Hyderabad"/>
    <x v="2"/>
    <s v="Data Analyst"/>
    <s v="Masters"/>
    <n v="4"/>
    <n v="60576"/>
    <n v="98.98"/>
    <n v="3"/>
    <n v="23"/>
    <n v="15"/>
    <s v="Medium"/>
    <x v="276"/>
    <x v="0"/>
  </r>
  <r>
    <x v="940"/>
    <x v="936"/>
    <x v="0"/>
    <n v="55"/>
    <s v="Chennai"/>
    <x v="0"/>
    <s v="HR Manager"/>
    <s v="MBA"/>
    <n v="14"/>
    <n v="48074"/>
    <n v="87.64"/>
    <n v="8"/>
    <n v="22"/>
    <n v="19"/>
    <s v="Low"/>
    <x v="440"/>
    <x v="0"/>
  </r>
  <r>
    <x v="941"/>
    <x v="937"/>
    <x v="0"/>
    <n v="29"/>
    <s v="Hyderabad"/>
    <x v="4"/>
    <s v="Financial Analyst"/>
    <s v="Masters"/>
    <n v="1"/>
    <n v="140581"/>
    <n v="76.3"/>
    <n v="3"/>
    <n v="32"/>
    <n v="32"/>
    <s v="High"/>
    <x v="441"/>
    <x v="0"/>
  </r>
  <r>
    <x v="942"/>
    <x v="938"/>
    <x v="0"/>
    <n v="39"/>
    <s v="Chennai"/>
    <x v="3"/>
    <s v="Coordinator"/>
    <s v="Diploma"/>
    <n v="3"/>
    <n v="60265"/>
    <n v="94.59"/>
    <n v="15"/>
    <n v="3"/>
    <n v="114"/>
    <s v="Low"/>
    <x v="190"/>
    <x v="1"/>
  </r>
  <r>
    <x v="943"/>
    <x v="939"/>
    <x v="1"/>
    <n v="34"/>
    <s v="Hyderabad"/>
    <x v="4"/>
    <s v="Auditor"/>
    <s v="Masters"/>
    <n v="6"/>
    <n v="73058"/>
    <n v="76.459999999999994"/>
    <n v="16"/>
    <n v="39"/>
    <n v="64"/>
    <s v="Medium"/>
    <x v="80"/>
    <x v="0"/>
  </r>
  <r>
    <x v="944"/>
    <x v="940"/>
    <x v="1"/>
    <n v="51"/>
    <s v="Hyderabad"/>
    <x v="1"/>
    <s v="Sales Executive"/>
    <s v="Diploma"/>
    <n v="19"/>
    <n v="120085"/>
    <n v="72.540000000000006"/>
    <n v="7"/>
    <n v="25"/>
    <n v="33"/>
    <s v="Low"/>
    <x v="77"/>
    <x v="0"/>
  </r>
  <r>
    <x v="945"/>
    <x v="941"/>
    <x v="1"/>
    <n v="33"/>
    <s v="Hyderabad"/>
    <x v="2"/>
    <s v="DevOps Engineer"/>
    <s v="Bachelors"/>
    <n v="6"/>
    <n v="74732"/>
    <n v="88.44"/>
    <n v="6"/>
    <n v="21"/>
    <n v="5"/>
    <s v="High"/>
    <x v="242"/>
    <x v="0"/>
  </r>
  <r>
    <x v="946"/>
    <x v="942"/>
    <x v="1"/>
    <n v="36"/>
    <s v="Delhi"/>
    <x v="5"/>
    <s v="Content Strategist"/>
    <s v="Bachelors"/>
    <n v="12"/>
    <n v="128815"/>
    <n v="78.73"/>
    <n v="19"/>
    <n v="52"/>
    <n v="53"/>
    <s v="Low"/>
    <x v="43"/>
    <x v="0"/>
  </r>
  <r>
    <x v="947"/>
    <x v="943"/>
    <x v="1"/>
    <n v="46"/>
    <s v="Delhi"/>
    <x v="4"/>
    <s v="Auditor"/>
    <s v="MBA"/>
    <n v="15"/>
    <n v="130257"/>
    <n v="67.16"/>
    <n v="16"/>
    <n v="19"/>
    <n v="60"/>
    <s v="Low"/>
    <x v="386"/>
    <x v="0"/>
  </r>
  <r>
    <x v="948"/>
    <x v="944"/>
    <x v="1"/>
    <n v="48"/>
    <s v="Hyderabad"/>
    <x v="0"/>
    <s v="Recruiter"/>
    <s v="Diploma"/>
    <n v="17"/>
    <n v="66063"/>
    <n v="93.21"/>
    <n v="10"/>
    <n v="32"/>
    <n v="80"/>
    <s v="High"/>
    <x v="442"/>
    <x v="1"/>
  </r>
  <r>
    <x v="949"/>
    <x v="945"/>
    <x v="0"/>
    <n v="49"/>
    <s v="Delhi"/>
    <x v="3"/>
    <s v="Coordinator"/>
    <s v="Diploma"/>
    <n v="3"/>
    <n v="112529"/>
    <n v="69.400000000000006"/>
    <n v="2"/>
    <n v="6"/>
    <n v="93"/>
    <s v="Medium"/>
    <x v="443"/>
    <x v="0"/>
  </r>
  <r>
    <x v="950"/>
    <x v="946"/>
    <x v="0"/>
    <n v="57"/>
    <s v="Chennai"/>
    <x v="3"/>
    <s v="Coordinator"/>
    <s v="Masters"/>
    <n v="8"/>
    <n v="84198"/>
    <n v="97.72"/>
    <n v="17"/>
    <n v="23"/>
    <n v="51"/>
    <s v="High"/>
    <x v="444"/>
    <x v="1"/>
  </r>
  <r>
    <x v="951"/>
    <x v="947"/>
    <x v="0"/>
    <n v="58"/>
    <s v="Pune"/>
    <x v="1"/>
    <s v="Sales Executive"/>
    <s v="Diploma"/>
    <n v="0"/>
    <n v="108248"/>
    <n v="75.260000000000005"/>
    <n v="13"/>
    <n v="43"/>
    <n v="19"/>
    <s v="Medium"/>
    <x v="445"/>
    <x v="0"/>
  </r>
  <r>
    <x v="952"/>
    <x v="948"/>
    <x v="1"/>
    <n v="47"/>
    <s v="Mumbai"/>
    <x v="2"/>
    <s v="Data Analyst"/>
    <s v="MBA"/>
    <n v="19"/>
    <n v="124792"/>
    <n v="75.180000000000007"/>
    <n v="8"/>
    <n v="15"/>
    <n v="113"/>
    <s v="High"/>
    <x v="444"/>
    <x v="1"/>
  </r>
  <r>
    <x v="953"/>
    <x v="949"/>
    <x v="0"/>
    <n v="27"/>
    <s v="Delhi"/>
    <x v="2"/>
    <s v="System Admin"/>
    <s v="Diploma"/>
    <n v="5"/>
    <n v="128974"/>
    <n v="97.3"/>
    <n v="18"/>
    <n v="10"/>
    <n v="93"/>
    <s v="Medium"/>
    <x v="330"/>
    <x v="1"/>
  </r>
  <r>
    <x v="954"/>
    <x v="950"/>
    <x v="0"/>
    <n v="30"/>
    <s v="Pune"/>
    <x v="1"/>
    <s v="Sales Executive"/>
    <s v="Masters"/>
    <n v="7"/>
    <n v="98580"/>
    <n v="88.99"/>
    <n v="8"/>
    <n v="10"/>
    <n v="64"/>
    <s v="Medium"/>
    <x v="66"/>
    <x v="0"/>
  </r>
  <r>
    <x v="955"/>
    <x v="951"/>
    <x v="1"/>
    <n v="45"/>
    <s v="Bangalore"/>
    <x v="4"/>
    <s v="Auditor"/>
    <s v="Bachelors"/>
    <n v="8"/>
    <n v="83239"/>
    <n v="83.45"/>
    <n v="2"/>
    <n v="17"/>
    <n v="109"/>
    <s v="Medium"/>
    <x v="107"/>
    <x v="0"/>
  </r>
  <r>
    <x v="956"/>
    <x v="952"/>
    <x v="0"/>
    <n v="26"/>
    <s v="Mumbai"/>
    <x v="5"/>
    <s v="Marketing Executive"/>
    <s v="Bachelors"/>
    <n v="5"/>
    <n v="63907"/>
    <n v="80.62"/>
    <n v="11"/>
    <n v="13"/>
    <n v="99"/>
    <s v="High"/>
    <x v="407"/>
    <x v="1"/>
  </r>
  <r>
    <x v="957"/>
    <x v="953"/>
    <x v="1"/>
    <n v="46"/>
    <s v="Delhi"/>
    <x v="3"/>
    <s v="Supervisor"/>
    <s v="Masters"/>
    <n v="14"/>
    <n v="71293"/>
    <n v="91.68"/>
    <n v="20"/>
    <n v="48"/>
    <n v="103"/>
    <s v="High"/>
    <x v="28"/>
    <x v="1"/>
  </r>
  <r>
    <x v="958"/>
    <x v="954"/>
    <x v="1"/>
    <n v="44"/>
    <s v="Chennai"/>
    <x v="0"/>
    <s v="HR Executive"/>
    <s v="Masters"/>
    <n v="10"/>
    <n v="45356"/>
    <n v="82.83"/>
    <n v="1"/>
    <n v="27"/>
    <n v="61"/>
    <s v="Medium"/>
    <x v="446"/>
    <x v="0"/>
  </r>
  <r>
    <x v="959"/>
    <x v="955"/>
    <x v="1"/>
    <n v="23"/>
    <s v="Pune"/>
    <x v="1"/>
    <s v="Sales Executive"/>
    <s v="Diploma"/>
    <n v="2"/>
    <n v="37982"/>
    <n v="89.61"/>
    <n v="4"/>
    <n v="16"/>
    <n v="80"/>
    <s v="Low"/>
    <x v="375"/>
    <x v="0"/>
  </r>
  <r>
    <x v="960"/>
    <x v="956"/>
    <x v="0"/>
    <n v="31"/>
    <s v="Pune"/>
    <x v="3"/>
    <s v="Coordinator"/>
    <s v="Masters"/>
    <n v="2"/>
    <n v="119967"/>
    <n v="69.42"/>
    <n v="3"/>
    <n v="54"/>
    <n v="38"/>
    <s v="Medium"/>
    <x v="414"/>
    <x v="0"/>
  </r>
  <r>
    <x v="961"/>
    <x v="957"/>
    <x v="1"/>
    <n v="42"/>
    <s v="Bangalore"/>
    <x v="4"/>
    <s v="Accountant"/>
    <s v="Diploma"/>
    <n v="11"/>
    <n v="123784"/>
    <n v="71.45"/>
    <n v="6"/>
    <n v="19"/>
    <n v="44"/>
    <s v="High"/>
    <x v="231"/>
    <x v="0"/>
  </r>
  <r>
    <x v="962"/>
    <x v="958"/>
    <x v="1"/>
    <n v="54"/>
    <s v="Bangalore"/>
    <x v="1"/>
    <s v="Sales Manager"/>
    <s v="Bachelors"/>
    <n v="21"/>
    <n v="67877"/>
    <n v="96.59"/>
    <n v="13"/>
    <n v="12"/>
    <n v="65"/>
    <s v="Medium"/>
    <x v="447"/>
    <x v="1"/>
  </r>
  <r>
    <x v="963"/>
    <x v="959"/>
    <x v="1"/>
    <n v="44"/>
    <s v="Delhi"/>
    <x v="0"/>
    <s v="Recruiter"/>
    <s v="Diploma"/>
    <n v="8"/>
    <n v="92775"/>
    <n v="77.77"/>
    <n v="2"/>
    <n v="49"/>
    <n v="120"/>
    <s v="High"/>
    <x v="16"/>
    <x v="0"/>
  </r>
  <r>
    <x v="964"/>
    <x v="960"/>
    <x v="1"/>
    <n v="22"/>
    <s v="Hyderabad"/>
    <x v="5"/>
    <s v="Content Strategist"/>
    <s v="Bachelors"/>
    <n v="0"/>
    <n v="136457"/>
    <n v="71.349999999999994"/>
    <n v="12"/>
    <n v="43"/>
    <n v="74"/>
    <s v="Low"/>
    <x v="136"/>
    <x v="0"/>
  </r>
  <r>
    <x v="965"/>
    <x v="961"/>
    <x v="1"/>
    <n v="58"/>
    <s v="Pune"/>
    <x v="2"/>
    <s v="DevOps Engineer"/>
    <s v="MBA"/>
    <n v="4"/>
    <n v="92592"/>
    <n v="84.51"/>
    <n v="13"/>
    <n v="60"/>
    <n v="25"/>
    <s v="Low"/>
    <x v="276"/>
    <x v="0"/>
  </r>
  <r>
    <x v="966"/>
    <x v="962"/>
    <x v="0"/>
    <n v="57"/>
    <s v="Hyderabad"/>
    <x v="1"/>
    <s v="Sales Executive"/>
    <s v="Masters"/>
    <n v="19"/>
    <n v="52344"/>
    <n v="87.1"/>
    <n v="11"/>
    <n v="32"/>
    <n v="57"/>
    <s v="High"/>
    <x v="448"/>
    <x v="0"/>
  </r>
  <r>
    <x v="967"/>
    <x v="963"/>
    <x v="0"/>
    <n v="48"/>
    <s v="Hyderabad"/>
    <x v="4"/>
    <s v="Accountant"/>
    <s v="MBA"/>
    <n v="25"/>
    <n v="82015"/>
    <n v="72.66"/>
    <n v="5"/>
    <n v="48"/>
    <n v="107"/>
    <s v="High"/>
    <x v="449"/>
    <x v="0"/>
  </r>
  <r>
    <x v="968"/>
    <x v="964"/>
    <x v="0"/>
    <n v="49"/>
    <s v="Delhi"/>
    <x v="5"/>
    <s v="Marketing Executive"/>
    <s v="Diploma"/>
    <n v="17"/>
    <n v="105282"/>
    <n v="92.78"/>
    <n v="16"/>
    <n v="6"/>
    <n v="67"/>
    <s v="Medium"/>
    <x v="450"/>
    <x v="1"/>
  </r>
  <r>
    <x v="969"/>
    <x v="965"/>
    <x v="0"/>
    <n v="31"/>
    <s v="Bangalore"/>
    <x v="4"/>
    <s v="Auditor"/>
    <s v="Diploma"/>
    <n v="1"/>
    <n v="88224"/>
    <n v="66.010000000000005"/>
    <n v="14"/>
    <n v="25"/>
    <n v="68"/>
    <s v="Low"/>
    <x v="257"/>
    <x v="0"/>
  </r>
  <r>
    <x v="970"/>
    <x v="966"/>
    <x v="1"/>
    <n v="54"/>
    <s v="Bangalore"/>
    <x v="2"/>
    <s v="System Admin"/>
    <s v="Bachelors"/>
    <n v="11"/>
    <n v="164502"/>
    <n v="95.82"/>
    <n v="12"/>
    <n v="39"/>
    <n v="25"/>
    <s v="Low"/>
    <x v="257"/>
    <x v="0"/>
  </r>
  <r>
    <x v="971"/>
    <x v="967"/>
    <x v="0"/>
    <n v="34"/>
    <s v="Mumbai"/>
    <x v="1"/>
    <s v="Sales Manager"/>
    <s v="Diploma"/>
    <n v="6"/>
    <n v="46018"/>
    <n v="67.040000000000006"/>
    <n v="5"/>
    <n v="16"/>
    <n v="94"/>
    <s v="High"/>
    <x v="189"/>
    <x v="0"/>
  </r>
  <r>
    <x v="972"/>
    <x v="968"/>
    <x v="0"/>
    <n v="46"/>
    <s v="Hyderabad"/>
    <x v="4"/>
    <s v="Financial Analyst"/>
    <s v="Bachelors"/>
    <n v="15"/>
    <n v="54177"/>
    <n v="67.83"/>
    <n v="13"/>
    <n v="13"/>
    <n v="50"/>
    <s v="Medium"/>
    <x v="4"/>
    <x v="0"/>
  </r>
  <r>
    <x v="973"/>
    <x v="969"/>
    <x v="1"/>
    <n v="44"/>
    <s v="Hyderabad"/>
    <x v="0"/>
    <s v="HR Manager"/>
    <s v="Diploma"/>
    <n v="16"/>
    <n v="62274"/>
    <n v="99.27"/>
    <n v="7"/>
    <n v="22"/>
    <n v="53"/>
    <s v="Medium"/>
    <x v="0"/>
    <x v="0"/>
  </r>
  <r>
    <x v="974"/>
    <x v="970"/>
    <x v="0"/>
    <n v="51"/>
    <s v="Bangalore"/>
    <x v="3"/>
    <s v="Operations Executive"/>
    <s v="Bachelors"/>
    <n v="4"/>
    <n v="115179"/>
    <n v="75.59"/>
    <n v="5"/>
    <n v="23"/>
    <n v="62"/>
    <s v="High"/>
    <x v="271"/>
    <x v="0"/>
  </r>
  <r>
    <x v="975"/>
    <x v="971"/>
    <x v="0"/>
    <n v="51"/>
    <s v="Bangalore"/>
    <x v="3"/>
    <s v="Supervisor"/>
    <s v="Masters"/>
    <n v="19"/>
    <n v="48092"/>
    <n v="86.86"/>
    <n v="19"/>
    <n v="25"/>
    <n v="70"/>
    <s v="High"/>
    <x v="56"/>
    <x v="1"/>
  </r>
  <r>
    <x v="976"/>
    <x v="248"/>
    <x v="0"/>
    <n v="38"/>
    <s v="Bangalore"/>
    <x v="2"/>
    <s v="Data Analyst"/>
    <s v="MBA"/>
    <n v="6"/>
    <n v="63776"/>
    <n v="90.61"/>
    <n v="1"/>
    <n v="56"/>
    <n v="5"/>
    <s v="Medium"/>
    <x v="451"/>
    <x v="0"/>
  </r>
  <r>
    <x v="977"/>
    <x v="972"/>
    <x v="1"/>
    <n v="35"/>
    <s v="Hyderabad"/>
    <x v="1"/>
    <s v="Sales Manager"/>
    <s v="Diploma"/>
    <n v="12"/>
    <n v="142630"/>
    <n v="67.84"/>
    <n v="5"/>
    <n v="43"/>
    <n v="89"/>
    <s v="Low"/>
    <x v="395"/>
    <x v="0"/>
  </r>
  <r>
    <x v="978"/>
    <x v="973"/>
    <x v="0"/>
    <n v="57"/>
    <s v="Chennai"/>
    <x v="0"/>
    <s v="HR Executive"/>
    <s v="MBA"/>
    <n v="3"/>
    <n v="79711"/>
    <n v="66.599999999999994"/>
    <n v="3"/>
    <n v="56"/>
    <n v="90"/>
    <s v="High"/>
    <x v="441"/>
    <x v="0"/>
  </r>
  <r>
    <x v="979"/>
    <x v="974"/>
    <x v="0"/>
    <n v="55"/>
    <s v="Pune"/>
    <x v="5"/>
    <s v="Marketing Executive"/>
    <s v="Masters"/>
    <n v="21"/>
    <n v="123641"/>
    <n v="91.62"/>
    <n v="7"/>
    <n v="55"/>
    <n v="37"/>
    <s v="Low"/>
    <x v="235"/>
    <x v="0"/>
  </r>
  <r>
    <x v="980"/>
    <x v="975"/>
    <x v="0"/>
    <n v="38"/>
    <s v="Mumbai"/>
    <x v="3"/>
    <s v="Coordinator"/>
    <s v="Masters"/>
    <n v="8"/>
    <n v="92748"/>
    <n v="74.84"/>
    <n v="16"/>
    <n v="13"/>
    <n v="84"/>
    <s v="Medium"/>
    <x v="452"/>
    <x v="1"/>
  </r>
  <r>
    <x v="981"/>
    <x v="976"/>
    <x v="0"/>
    <n v="50"/>
    <s v="Delhi"/>
    <x v="4"/>
    <s v="Accountant"/>
    <s v="Diploma"/>
    <n v="26"/>
    <n v="115569"/>
    <n v="94.83"/>
    <n v="14"/>
    <n v="11"/>
    <n v="92"/>
    <s v="Medium"/>
    <x v="453"/>
    <x v="1"/>
  </r>
  <r>
    <x v="982"/>
    <x v="977"/>
    <x v="1"/>
    <n v="51"/>
    <s v="Delhi"/>
    <x v="2"/>
    <s v="Software Engineer"/>
    <s v="MBA"/>
    <n v="8"/>
    <n v="125239"/>
    <n v="84.27"/>
    <n v="5"/>
    <n v="14"/>
    <n v="68"/>
    <s v="Low"/>
    <x v="149"/>
    <x v="0"/>
  </r>
  <r>
    <x v="983"/>
    <x v="978"/>
    <x v="0"/>
    <n v="43"/>
    <s v="Delhi"/>
    <x v="4"/>
    <s v="Accountant"/>
    <s v="Diploma"/>
    <n v="19"/>
    <n v="146496"/>
    <n v="96.04"/>
    <n v="2"/>
    <n v="46"/>
    <n v="112"/>
    <s v="Medium"/>
    <x v="454"/>
    <x v="0"/>
  </r>
  <r>
    <x v="984"/>
    <x v="979"/>
    <x v="1"/>
    <n v="46"/>
    <s v="Delhi"/>
    <x v="0"/>
    <s v="Recruiter"/>
    <s v="Masters"/>
    <n v="3"/>
    <n v="89907"/>
    <n v="65.41"/>
    <n v="4"/>
    <n v="18"/>
    <n v="19"/>
    <s v="Low"/>
    <x v="455"/>
    <x v="0"/>
  </r>
  <r>
    <x v="985"/>
    <x v="980"/>
    <x v="0"/>
    <n v="51"/>
    <s v="Hyderabad"/>
    <x v="2"/>
    <s v="DevOps Engineer"/>
    <s v="Masters"/>
    <n v="2"/>
    <n v="97129"/>
    <n v="87.25"/>
    <n v="9"/>
    <n v="42"/>
    <n v="109"/>
    <s v="Medium"/>
    <x v="35"/>
    <x v="0"/>
  </r>
  <r>
    <x v="986"/>
    <x v="981"/>
    <x v="0"/>
    <n v="33"/>
    <s v="Chennai"/>
    <x v="0"/>
    <s v="HR Manager"/>
    <s v="Bachelors"/>
    <n v="12"/>
    <n v="54975"/>
    <n v="75.59"/>
    <n v="18"/>
    <n v="9"/>
    <n v="112"/>
    <s v="Low"/>
    <x v="237"/>
    <x v="1"/>
  </r>
  <r>
    <x v="987"/>
    <x v="982"/>
    <x v="0"/>
    <n v="57"/>
    <s v="Bangalore"/>
    <x v="3"/>
    <s v="Operations Executive"/>
    <s v="Masters"/>
    <n v="21"/>
    <n v="84191"/>
    <n v="76.680000000000007"/>
    <n v="3"/>
    <n v="4"/>
    <n v="102"/>
    <s v="High"/>
    <x v="280"/>
    <x v="0"/>
  </r>
  <r>
    <x v="988"/>
    <x v="983"/>
    <x v="1"/>
    <n v="24"/>
    <s v="Delhi"/>
    <x v="5"/>
    <s v="SEO Analyst"/>
    <s v="Bachelors"/>
    <n v="1"/>
    <n v="55044"/>
    <n v="96.76"/>
    <n v="11"/>
    <n v="49"/>
    <n v="95"/>
    <s v="High"/>
    <x v="344"/>
    <x v="0"/>
  </r>
  <r>
    <x v="989"/>
    <x v="984"/>
    <x v="1"/>
    <n v="28"/>
    <s v="Delhi"/>
    <x v="3"/>
    <s v="Supervisor"/>
    <s v="Masters"/>
    <n v="7"/>
    <n v="118728"/>
    <n v="92.71"/>
    <n v="1"/>
    <n v="0"/>
    <n v="19"/>
    <s v="Low"/>
    <x v="446"/>
    <x v="0"/>
  </r>
  <r>
    <x v="990"/>
    <x v="985"/>
    <x v="0"/>
    <n v="49"/>
    <s v="Mumbai"/>
    <x v="5"/>
    <s v="Content Strategist"/>
    <s v="MBA"/>
    <n v="16"/>
    <n v="65940"/>
    <n v="72.680000000000007"/>
    <n v="9"/>
    <n v="36"/>
    <n v="43"/>
    <s v="Medium"/>
    <x v="456"/>
    <x v="0"/>
  </r>
  <r>
    <x v="991"/>
    <x v="986"/>
    <x v="0"/>
    <n v="36"/>
    <s v="Mumbai"/>
    <x v="5"/>
    <s v="Marketing Executive"/>
    <s v="MBA"/>
    <n v="2"/>
    <n v="124931"/>
    <n v="70.88"/>
    <n v="6"/>
    <n v="45"/>
    <n v="22"/>
    <s v="Low"/>
    <x v="352"/>
    <x v="0"/>
  </r>
  <r>
    <x v="992"/>
    <x v="987"/>
    <x v="1"/>
    <n v="43"/>
    <s v="Bangalore"/>
    <x v="0"/>
    <s v="HR Executive"/>
    <s v="Diploma"/>
    <n v="12"/>
    <n v="86256"/>
    <n v="68.81"/>
    <n v="11"/>
    <n v="6"/>
    <n v="59"/>
    <s v="Low"/>
    <x v="36"/>
    <x v="0"/>
  </r>
  <r>
    <x v="993"/>
    <x v="988"/>
    <x v="0"/>
    <n v="35"/>
    <s v="Pune"/>
    <x v="1"/>
    <s v="Sales Manager"/>
    <s v="Bachelors"/>
    <n v="7"/>
    <n v="67290"/>
    <n v="91.03"/>
    <n v="13"/>
    <n v="57"/>
    <n v="49"/>
    <s v="Low"/>
    <x v="27"/>
    <x v="0"/>
  </r>
  <r>
    <x v="994"/>
    <x v="989"/>
    <x v="1"/>
    <n v="52"/>
    <s v="Hyderabad"/>
    <x v="3"/>
    <s v="Supervisor"/>
    <s v="Diploma"/>
    <n v="19"/>
    <n v="72811"/>
    <n v="76.23"/>
    <n v="4"/>
    <n v="28"/>
    <n v="96"/>
    <s v="Medium"/>
    <x v="366"/>
    <x v="0"/>
  </r>
  <r>
    <x v="995"/>
    <x v="990"/>
    <x v="0"/>
    <n v="23"/>
    <s v="Mumbai"/>
    <x v="2"/>
    <s v="System Admin"/>
    <s v="Bachelors"/>
    <n v="2"/>
    <n v="85685"/>
    <n v="90.55"/>
    <n v="10"/>
    <n v="44"/>
    <n v="13"/>
    <s v="High"/>
    <x v="393"/>
    <x v="0"/>
  </r>
  <r>
    <x v="996"/>
    <x v="991"/>
    <x v="1"/>
    <n v="22"/>
    <s v="Mumbai"/>
    <x v="0"/>
    <s v="HR Executive"/>
    <s v="Diploma"/>
    <n v="0"/>
    <n v="83066"/>
    <n v="67.819999999999993"/>
    <n v="17"/>
    <n v="20"/>
    <n v="104"/>
    <s v="High"/>
    <x v="252"/>
    <x v="0"/>
  </r>
  <r>
    <x v="997"/>
    <x v="992"/>
    <x v="0"/>
    <n v="55"/>
    <s v="Pune"/>
    <x v="4"/>
    <s v="Accountant"/>
    <s v="MBA"/>
    <n v="34"/>
    <n v="94194"/>
    <n v="71"/>
    <n v="4"/>
    <n v="59"/>
    <n v="113"/>
    <s v="Medium"/>
    <x v="386"/>
    <x v="0"/>
  </r>
  <r>
    <x v="998"/>
    <x v="993"/>
    <x v="0"/>
    <n v="23"/>
    <s v="Chennai"/>
    <x v="5"/>
    <s v="SEO Analyst"/>
    <s v="Diploma"/>
    <n v="1"/>
    <n v="94641"/>
    <n v="80.64"/>
    <n v="13"/>
    <n v="0"/>
    <n v="73"/>
    <s v="High"/>
    <x v="68"/>
    <x v="0"/>
  </r>
  <r>
    <x v="999"/>
    <x v="994"/>
    <x v="1"/>
    <n v="52"/>
    <s v="Mumbai"/>
    <x v="1"/>
    <s v="Sales Executive"/>
    <s v="Masters"/>
    <n v="0"/>
    <n v="33120"/>
    <n v="98.85"/>
    <n v="18"/>
    <n v="5"/>
    <n v="98"/>
    <s v="High"/>
    <x v="19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4C7D5-E709-4842-B035-13BF6922888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29" firstHeaderRow="1" firstDataRow="1" firstDataCol="1" rowPageCount="2" colPageCount="1"/>
  <pivotFields count="17">
    <pivotField showAll="0"/>
    <pivotField axis="axisRow" showAll="0">
      <items count="996">
        <item x="105"/>
        <item x="563"/>
        <item x="817"/>
        <item x="174"/>
        <item x="266"/>
        <item x="810"/>
        <item x="667"/>
        <item x="455"/>
        <item x="245"/>
        <item x="883"/>
        <item x="358"/>
        <item x="356"/>
        <item x="32"/>
        <item x="781"/>
        <item x="942"/>
        <item x="877"/>
        <item x="759"/>
        <item x="40"/>
        <item x="644"/>
        <item x="946"/>
        <item x="614"/>
        <item x="820"/>
        <item x="911"/>
        <item x="691"/>
        <item x="986"/>
        <item x="636"/>
        <item x="325"/>
        <item x="819"/>
        <item x="186"/>
        <item x="613"/>
        <item x="123"/>
        <item x="955"/>
        <item x="5"/>
        <item x="439"/>
        <item x="912"/>
        <item x="409"/>
        <item x="721"/>
        <item x="36"/>
        <item x="4"/>
        <item x="388"/>
        <item x="3"/>
        <item x="763"/>
        <item x="412"/>
        <item x="392"/>
        <item x="590"/>
        <item x="131"/>
        <item x="854"/>
        <item x="424"/>
        <item x="552"/>
        <item x="871"/>
        <item x="972"/>
        <item x="664"/>
        <item x="559"/>
        <item x="879"/>
        <item x="914"/>
        <item x="501"/>
        <item x="927"/>
        <item x="934"/>
        <item x="313"/>
        <item x="592"/>
        <item x="309"/>
        <item x="194"/>
        <item x="121"/>
        <item x="660"/>
        <item x="389"/>
        <item x="42"/>
        <item x="982"/>
        <item x="310"/>
        <item x="487"/>
        <item x="454"/>
        <item x="651"/>
        <item x="119"/>
        <item x="734"/>
        <item x="707"/>
        <item x="504"/>
        <item x="346"/>
        <item x="334"/>
        <item x="548"/>
        <item x="595"/>
        <item x="583"/>
        <item x="431"/>
        <item x="25"/>
        <item x="16"/>
        <item x="72"/>
        <item x="842"/>
        <item x="303"/>
        <item x="838"/>
        <item x="207"/>
        <item x="855"/>
        <item x="256"/>
        <item x="173"/>
        <item x="901"/>
        <item x="440"/>
        <item x="534"/>
        <item x="278"/>
        <item x="509"/>
        <item x="62"/>
        <item x="959"/>
        <item x="520"/>
        <item x="852"/>
        <item x="444"/>
        <item x="229"/>
        <item x="556"/>
        <item x="913"/>
        <item x="624"/>
        <item x="60"/>
        <item x="836"/>
        <item x="402"/>
        <item x="903"/>
        <item x="214"/>
        <item x="270"/>
        <item x="978"/>
        <item x="591"/>
        <item x="155"/>
        <item x="333"/>
        <item x="48"/>
        <item x="850"/>
        <item x="658"/>
        <item x="680"/>
        <item x="384"/>
        <item x="653"/>
        <item x="778"/>
        <item x="58"/>
        <item x="698"/>
        <item x="209"/>
        <item x="195"/>
        <item x="180"/>
        <item x="75"/>
        <item x="336"/>
        <item x="700"/>
        <item x="29"/>
        <item x="134"/>
        <item x="248"/>
        <item x="635"/>
        <item x="803"/>
        <item x="604"/>
        <item x="785"/>
        <item x="293"/>
        <item x="603"/>
        <item x="99"/>
        <item x="519"/>
        <item x="461"/>
        <item x="51"/>
        <item x="93"/>
        <item x="176"/>
        <item x="908"/>
        <item x="468"/>
        <item x="163"/>
        <item x="824"/>
        <item x="887"/>
        <item x="920"/>
        <item x="360"/>
        <item x="557"/>
        <item x="373"/>
        <item x="367"/>
        <item x="65"/>
        <item x="837"/>
        <item x="993"/>
        <item x="331"/>
        <item x="769"/>
        <item x="537"/>
        <item x="523"/>
        <item x="601"/>
        <item x="465"/>
        <item x="554"/>
        <item x="326"/>
        <item x="524"/>
        <item x="902"/>
        <item x="426"/>
        <item x="219"/>
        <item x="395"/>
        <item x="206"/>
        <item x="610"/>
        <item x="13"/>
        <item x="375"/>
        <item x="320"/>
        <item x="795"/>
        <item x="380"/>
        <item x="841"/>
        <item x="549"/>
        <item x="503"/>
        <item x="843"/>
        <item x="302"/>
        <item x="208"/>
        <item x="928"/>
        <item x="922"/>
        <item x="540"/>
        <item x="260"/>
        <item x="366"/>
        <item x="790"/>
        <item x="690"/>
        <item x="103"/>
        <item x="685"/>
        <item x="931"/>
        <item x="124"/>
        <item x="764"/>
        <item x="868"/>
        <item x="587"/>
        <item x="870"/>
        <item x="420"/>
        <item x="39"/>
        <item x="952"/>
        <item x="608"/>
        <item x="213"/>
        <item x="162"/>
        <item x="735"/>
        <item x="246"/>
        <item x="401"/>
        <item x="80"/>
        <item x="581"/>
        <item x="254"/>
        <item x="779"/>
        <item x="137"/>
        <item x="54"/>
        <item x="891"/>
        <item x="578"/>
        <item x="435"/>
        <item x="832"/>
        <item x="684"/>
        <item x="362"/>
        <item x="483"/>
        <item x="87"/>
        <item x="957"/>
        <item x="809"/>
        <item x="354"/>
        <item x="917"/>
        <item x="616"/>
        <item x="230"/>
        <item x="63"/>
        <item x="410"/>
        <item x="126"/>
        <item x="122"/>
        <item x="900"/>
        <item x="397"/>
        <item x="605"/>
        <item x="626"/>
        <item x="47"/>
        <item x="416"/>
        <item x="73"/>
        <item x="948"/>
        <item x="212"/>
        <item x="692"/>
        <item x="267"/>
        <item x="670"/>
        <item x="708"/>
        <item x="298"/>
        <item x="218"/>
        <item x="541"/>
        <item x="486"/>
        <item x="479"/>
        <item x="91"/>
        <item x="414"/>
        <item x="699"/>
        <item x="342"/>
        <item x="115"/>
        <item x="264"/>
        <item x="340"/>
        <item x="34"/>
        <item x="726"/>
        <item x="729"/>
        <item x="792"/>
        <item x="456"/>
        <item x="108"/>
        <item x="947"/>
        <item x="853"/>
        <item x="441"/>
        <item x="196"/>
        <item x="973"/>
        <item x="386"/>
        <item x="860"/>
        <item x="965"/>
        <item x="55"/>
        <item x="712"/>
        <item x="632"/>
        <item x="533"/>
        <item x="12"/>
        <item x="168"/>
        <item x="742"/>
        <item x="689"/>
        <item x="284"/>
        <item x="274"/>
        <item x="237"/>
        <item x="377"/>
        <item x="704"/>
        <item x="67"/>
        <item x="812"/>
        <item x="787"/>
        <item x="598"/>
        <item x="22"/>
        <item x="777"/>
        <item x="846"/>
        <item x="8"/>
        <item x="621"/>
        <item x="956"/>
        <item x="866"/>
        <item x="953"/>
        <item x="272"/>
        <item x="656"/>
        <item x="188"/>
        <item x="659"/>
        <item x="751"/>
        <item x="23"/>
        <item x="202"/>
        <item x="845"/>
        <item x="974"/>
        <item x="964"/>
        <item x="258"/>
        <item x="925"/>
        <item x="743"/>
        <item x="950"/>
        <item x="301"/>
        <item x="404"/>
        <item x="807"/>
        <item x="677"/>
        <item x="874"/>
        <item x="299"/>
        <item x="235"/>
        <item x="488"/>
        <item x="378"/>
        <item x="361"/>
        <item x="585"/>
        <item x="100"/>
        <item x="211"/>
        <item x="95"/>
        <item x="458"/>
        <item x="594"/>
        <item x="538"/>
        <item x="290"/>
        <item x="531"/>
        <item x="381"/>
        <item x="561"/>
        <item x="932"/>
        <item x="57"/>
        <item x="873"/>
        <item x="141"/>
        <item x="460"/>
        <item x="943"/>
        <item x="405"/>
        <item x="582"/>
        <item x="165"/>
        <item x="288"/>
        <item x="363"/>
        <item x="191"/>
        <item x="14"/>
        <item x="86"/>
        <item x="936"/>
        <item x="989"/>
        <item x="694"/>
        <item x="161"/>
        <item x="944"/>
        <item x="740"/>
        <item x="184"/>
        <item x="662"/>
        <item x="535"/>
        <item x="423"/>
        <item x="189"/>
        <item x="231"/>
        <item x="983"/>
        <item x="631"/>
        <item x="979"/>
        <item x="633"/>
        <item x="315"/>
        <item x="564"/>
        <item x="484"/>
        <item x="619"/>
        <item x="937"/>
        <item x="517"/>
        <item x="847"/>
        <item x="961"/>
        <item x="427"/>
        <item x="833"/>
        <item x="525"/>
        <item x="220"/>
        <item x="53"/>
        <item x="69"/>
        <item x="418"/>
        <item x="739"/>
        <item x="466"/>
        <item x="156"/>
        <item x="352"/>
        <item x="434"/>
        <item x="383"/>
        <item x="962"/>
        <item x="289"/>
        <item x="823"/>
        <item x="515"/>
        <item x="930"/>
        <item x="92"/>
        <item x="772"/>
        <item x="44"/>
        <item x="171"/>
        <item x="337"/>
        <item x="167"/>
        <item x="240"/>
        <item x="138"/>
        <item x="890"/>
        <item x="166"/>
        <item x="139"/>
        <item x="144"/>
        <item x="933"/>
        <item x="109"/>
        <item x="238"/>
        <item x="783"/>
        <item x="815"/>
        <item x="52"/>
        <item x="316"/>
        <item x="249"/>
        <item x="462"/>
        <item x="748"/>
        <item x="472"/>
        <item x="918"/>
        <item x="10"/>
        <item x="499"/>
        <item x="365"/>
        <item x="159"/>
        <item x="329"/>
        <item x="757"/>
        <item x="663"/>
        <item x="821"/>
        <item x="935"/>
        <item x="562"/>
        <item x="169"/>
        <item x="192"/>
        <item x="951"/>
        <item x="227"/>
        <item x="286"/>
        <item x="153"/>
        <item x="273"/>
        <item x="78"/>
        <item x="822"/>
        <item x="481"/>
        <item x="262"/>
        <item x="341"/>
        <item x="97"/>
        <item x="539"/>
        <item x="175"/>
        <item x="359"/>
        <item x="645"/>
        <item x="623"/>
        <item x="311"/>
        <item x="576"/>
        <item x="471"/>
        <item x="321"/>
        <item x="43"/>
        <item x="949"/>
        <item x="893"/>
        <item x="760"/>
        <item x="896"/>
        <item x="940"/>
        <item x="0"/>
        <item x="497"/>
        <item x="502"/>
        <item x="374"/>
        <item x="627"/>
        <item x="222"/>
        <item x="7"/>
        <item x="566"/>
        <item x="143"/>
        <item x="799"/>
        <item x="840"/>
        <item x="70"/>
        <item x="33"/>
        <item x="678"/>
        <item x="45"/>
        <item x="798"/>
        <item x="926"/>
        <item x="806"/>
        <item x="776"/>
        <item x="597"/>
        <item x="599"/>
        <item x="451"/>
        <item x="584"/>
        <item x="415"/>
        <item x="478"/>
        <item x="443"/>
        <item x="530"/>
        <item x="371"/>
        <item x="628"/>
        <item x="701"/>
        <item x="307"/>
        <item x="292"/>
        <item x="835"/>
        <item x="158"/>
        <item x="84"/>
        <item x="71"/>
        <item x="984"/>
        <item x="17"/>
        <item x="693"/>
        <item x="643"/>
        <item x="570"/>
        <item x="897"/>
        <item x="545"/>
        <item x="904"/>
        <item x="324"/>
        <item x="294"/>
        <item x="625"/>
        <item x="730"/>
        <item x="910"/>
        <item x="543"/>
        <item x="646"/>
        <item x="233"/>
        <item x="802"/>
        <item x="881"/>
        <item x="878"/>
        <item x="945"/>
        <item x="856"/>
        <item x="752"/>
        <item x="869"/>
        <item x="756"/>
        <item x="243"/>
        <item x="127"/>
        <item x="27"/>
        <item x="269"/>
        <item x="94"/>
        <item x="355"/>
        <item x="251"/>
        <item x="629"/>
        <item x="489"/>
        <item x="991"/>
        <item x="492"/>
        <item x="391"/>
        <item x="433"/>
        <item x="61"/>
        <item x="834"/>
        <item x="774"/>
        <item x="317"/>
        <item x="755"/>
        <item x="328"/>
        <item x="813"/>
        <item x="675"/>
        <item x="390"/>
        <item x="287"/>
        <item x="113"/>
        <item x="250"/>
        <item x="319"/>
        <item x="132"/>
        <item x="571"/>
        <item x="642"/>
        <item x="411"/>
        <item x="494"/>
        <item x="714"/>
        <item x="101"/>
        <item x="839"/>
        <item x="775"/>
        <item x="862"/>
        <item x="217"/>
        <item x="41"/>
        <item x="738"/>
        <item x="145"/>
        <item x="634"/>
        <item x="668"/>
        <item x="428"/>
        <item x="969"/>
        <item x="140"/>
        <item x="351"/>
        <item x="987"/>
        <item x="574"/>
        <item x="18"/>
        <item x="111"/>
        <item x="650"/>
        <item x="894"/>
        <item x="569"/>
        <item x="686"/>
        <item x="280"/>
        <item x="526"/>
        <item x="640"/>
        <item x="907"/>
        <item x="376"/>
        <item x="148"/>
        <item x="532"/>
        <item x="408"/>
        <item x="703"/>
        <item x="210"/>
        <item x="770"/>
        <item x="536"/>
        <item x="971"/>
        <item x="859"/>
        <item x="297"/>
        <item x="306"/>
        <item x="898"/>
        <item x="830"/>
        <item x="150"/>
        <item x="671"/>
        <item x="421"/>
        <item x="542"/>
        <item x="600"/>
        <item x="232"/>
        <item x="511"/>
        <item x="720"/>
        <item x="547"/>
        <item x="674"/>
        <item x="864"/>
        <item x="116"/>
        <item x="831"/>
        <item x="261"/>
        <item x="339"/>
        <item x="617"/>
        <item x="661"/>
        <item x="963"/>
        <item x="393"/>
        <item x="277"/>
        <item x="796"/>
        <item x="710"/>
        <item x="68"/>
        <item x="79"/>
        <item x="15"/>
        <item x="241"/>
        <item x="727"/>
        <item x="876"/>
        <item x="827"/>
        <item x="37"/>
        <item x="77"/>
        <item x="705"/>
        <item x="596"/>
        <item x="758"/>
        <item x="512"/>
        <item x="76"/>
        <item x="814"/>
        <item x="929"/>
        <item x="467"/>
        <item x="281"/>
        <item x="28"/>
        <item x="895"/>
        <item x="56"/>
        <item x="279"/>
        <item x="641"/>
        <item x="149"/>
        <item x="49"/>
        <item x="413"/>
        <item x="848"/>
        <item x="9"/>
        <item x="382"/>
        <item x="791"/>
        <item x="749"/>
        <item x="731"/>
        <item x="31"/>
        <item x="565"/>
        <item x="612"/>
        <item x="370"/>
        <item x="348"/>
        <item x="888"/>
        <item x="960"/>
        <item x="225"/>
        <item x="152"/>
        <item x="762"/>
        <item x="851"/>
        <item x="994"/>
        <item x="21"/>
        <item x="452"/>
        <item x="490"/>
        <item x="446"/>
        <item x="226"/>
        <item x="128"/>
        <item x="672"/>
        <item x="553"/>
        <item x="257"/>
        <item x="867"/>
        <item x="909"/>
        <item x="551"/>
        <item x="579"/>
        <item x="305"/>
        <item x="967"/>
        <item x="223"/>
        <item x="247"/>
        <item x="630"/>
        <item x="282"/>
        <item x="666"/>
        <item x="648"/>
        <item x="514"/>
        <item x="804"/>
        <item x="480"/>
        <item x="800"/>
        <item x="975"/>
        <item x="345"/>
        <item x="771"/>
        <item x="476"/>
        <item x="259"/>
        <item x="98"/>
        <item x="187"/>
        <item x="702"/>
        <item x="713"/>
        <item x="529"/>
        <item x="417"/>
        <item x="715"/>
        <item x="234"/>
        <item x="905"/>
        <item x="593"/>
        <item x="430"/>
        <item x="151"/>
        <item x="193"/>
        <item x="976"/>
        <item x="74"/>
        <item x="357"/>
        <item x="183"/>
        <item x="750"/>
        <item x="318"/>
        <item x="398"/>
        <item x="146"/>
        <item x="457"/>
        <item x="518"/>
        <item x="695"/>
        <item x="106"/>
        <item x="507"/>
        <item x="639"/>
        <item x="496"/>
        <item x="784"/>
        <item x="271"/>
        <item x="30"/>
        <item x="265"/>
        <item x="185"/>
        <item x="825"/>
        <item x="572"/>
        <item x="602"/>
        <item x="81"/>
        <item x="589"/>
        <item x="89"/>
        <item x="718"/>
        <item x="882"/>
        <item x="385"/>
        <item x="737"/>
        <item x="335"/>
        <item x="722"/>
        <item x="242"/>
        <item x="638"/>
        <item x="719"/>
        <item x="130"/>
        <item x="353"/>
        <item x="728"/>
        <item x="295"/>
        <item x="510"/>
        <item x="129"/>
        <item x="179"/>
        <item x="178"/>
        <item x="330"/>
        <item x="469"/>
        <item x="958"/>
        <item x="786"/>
        <item x="889"/>
        <item x="697"/>
        <item x="442"/>
        <item x="473"/>
        <item x="338"/>
        <item x="244"/>
        <item x="459"/>
        <item x="606"/>
        <item x="102"/>
        <item x="560"/>
        <item x="687"/>
        <item x="255"/>
        <item x="429"/>
        <item x="172"/>
        <item x="980"/>
        <item x="107"/>
        <item x="954"/>
        <item x="899"/>
        <item x="808"/>
        <item x="104"/>
        <item x="829"/>
        <item x="136"/>
        <item x="811"/>
        <item x="327"/>
        <item x="797"/>
        <item x="425"/>
        <item x="767"/>
        <item x="924"/>
        <item x="857"/>
        <item x="683"/>
        <item x="88"/>
        <item x="573"/>
        <item x="350"/>
        <item x="19"/>
        <item x="733"/>
        <item x="164"/>
        <item x="990"/>
        <item x="637"/>
        <item x="120"/>
        <item x="190"/>
        <item x="239"/>
        <item x="544"/>
        <item x="263"/>
        <item x="215"/>
        <item x="200"/>
        <item x="558"/>
        <item x="977"/>
        <item x="252"/>
        <item x="522"/>
        <item x="747"/>
        <item x="880"/>
        <item x="706"/>
        <item x="135"/>
        <item x="304"/>
        <item x="745"/>
        <item x="886"/>
        <item x="647"/>
        <item x="765"/>
        <item x="485"/>
        <item x="746"/>
        <item x="399"/>
        <item x="197"/>
        <item x="555"/>
        <item x="676"/>
        <item x="818"/>
        <item x="844"/>
        <item x="403"/>
        <item x="387"/>
        <item x="992"/>
        <item x="655"/>
        <item x="96"/>
        <item x="669"/>
        <item x="768"/>
        <item x="449"/>
        <item x="654"/>
        <item x="493"/>
        <item x="939"/>
        <item x="906"/>
        <item x="516"/>
        <item x="725"/>
        <item x="580"/>
        <item x="849"/>
        <item x="453"/>
        <item x="470"/>
        <item x="495"/>
        <item x="801"/>
        <item x="622"/>
        <item x="723"/>
        <item x="682"/>
        <item x="968"/>
        <item x="438"/>
        <item x="567"/>
        <item x="463"/>
        <item x="865"/>
        <item x="679"/>
        <item x="550"/>
        <item x="709"/>
        <item x="885"/>
        <item x="437"/>
        <item x="988"/>
        <item x="268"/>
        <item x="607"/>
        <item x="1"/>
        <item x="323"/>
        <item x="20"/>
        <item x="586"/>
        <item x="157"/>
        <item x="588"/>
        <item x="788"/>
        <item x="527"/>
        <item x="276"/>
        <item x="35"/>
        <item x="577"/>
        <item x="618"/>
        <item x="364"/>
        <item x="50"/>
        <item x="125"/>
        <item x="406"/>
        <item x="296"/>
        <item x="506"/>
        <item x="477"/>
        <item x="754"/>
        <item x="154"/>
        <item x="285"/>
        <item x="474"/>
        <item x="133"/>
        <item x="464"/>
        <item x="59"/>
        <item x="789"/>
        <item x="793"/>
        <item x="394"/>
        <item x="64"/>
        <item x="657"/>
        <item x="369"/>
        <item x="688"/>
        <item x="368"/>
        <item x="916"/>
        <item x="400"/>
        <item x="816"/>
        <item x="921"/>
        <item x="673"/>
        <item x="915"/>
        <item x="142"/>
        <item x="872"/>
        <item x="652"/>
        <item x="147"/>
        <item x="970"/>
        <item x="407"/>
        <item x="500"/>
        <item x="941"/>
        <item x="615"/>
        <item x="773"/>
        <item x="2"/>
        <item x="117"/>
        <item x="665"/>
        <item x="24"/>
        <item x="6"/>
        <item x="528"/>
        <item x="204"/>
        <item x="681"/>
        <item x="26"/>
        <item x="450"/>
        <item x="112"/>
        <item x="422"/>
        <item x="508"/>
        <item x="82"/>
        <item x="753"/>
        <item x="794"/>
        <item x="575"/>
        <item x="349"/>
        <item x="85"/>
        <item x="491"/>
        <item x="766"/>
        <item x="203"/>
        <item x="396"/>
        <item x="780"/>
        <item x="283"/>
        <item x="761"/>
        <item x="46"/>
        <item x="332"/>
        <item x="923"/>
        <item x="717"/>
        <item x="568"/>
        <item x="884"/>
        <item x="38"/>
        <item x="160"/>
        <item x="711"/>
        <item x="347"/>
        <item x="805"/>
        <item x="513"/>
        <item x="11"/>
        <item x="228"/>
        <item x="118"/>
        <item x="177"/>
        <item x="322"/>
        <item x="83"/>
        <item x="863"/>
        <item x="181"/>
        <item x="201"/>
        <item x="966"/>
        <item x="66"/>
        <item x="782"/>
        <item x="372"/>
        <item x="482"/>
        <item x="724"/>
        <item x="253"/>
        <item x="828"/>
        <item x="741"/>
        <item x="875"/>
        <item x="198"/>
        <item x="275"/>
        <item x="312"/>
        <item x="236"/>
        <item x="736"/>
        <item x="861"/>
        <item x="216"/>
        <item x="205"/>
        <item x="609"/>
        <item x="445"/>
        <item x="432"/>
        <item x="199"/>
        <item x="826"/>
        <item x="938"/>
        <item x="858"/>
        <item x="224"/>
        <item x="110"/>
        <item x="436"/>
        <item x="696"/>
        <item x="419"/>
        <item x="505"/>
        <item x="498"/>
        <item x="620"/>
        <item x="114"/>
        <item x="343"/>
        <item x="291"/>
        <item x="611"/>
        <item x="300"/>
        <item x="182"/>
        <item x="744"/>
        <item x="447"/>
        <item x="475"/>
        <item x="732"/>
        <item x="170"/>
        <item x="649"/>
        <item x="919"/>
        <item x="314"/>
        <item x="344"/>
        <item x="308"/>
        <item x="90"/>
        <item x="716"/>
        <item x="546"/>
        <item x="448"/>
        <item x="985"/>
        <item x="892"/>
        <item x="521"/>
        <item x="379"/>
        <item x="981"/>
        <item x="221"/>
        <item t="default"/>
      </items>
    </pivotField>
    <pivotField showAll="0"/>
    <pivotField showAll="0"/>
    <pivotField showAll="0"/>
    <pivotField axis="axisPage" showAll="0">
      <items count="7">
        <item x="4"/>
        <item x="0"/>
        <item x="2"/>
        <item x="5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 includeNewItemsInFilter="1">
      <items count="458">
        <item x="331"/>
        <item x="144"/>
        <item x="259"/>
        <item x="381"/>
        <item x="26"/>
        <item x="206"/>
        <item x="433"/>
        <item x="277"/>
        <item x="132"/>
        <item x="427"/>
        <item x="367"/>
        <item x="321"/>
        <item x="162"/>
        <item x="64"/>
        <item x="451"/>
        <item x="151"/>
        <item x="417"/>
        <item x="411"/>
        <item x="403"/>
        <item x="399"/>
        <item x="425"/>
        <item x="414"/>
        <item x="131"/>
        <item x="290"/>
        <item x="49"/>
        <item x="419"/>
        <item x="266"/>
        <item x="142"/>
        <item x="201"/>
        <item x="13"/>
        <item x="198"/>
        <item x="356"/>
        <item x="424"/>
        <item x="38"/>
        <item x="218"/>
        <item x="197"/>
        <item x="421"/>
        <item x="387"/>
        <item x="264"/>
        <item x="253"/>
        <item x="365"/>
        <item x="360"/>
        <item x="441"/>
        <item x="254"/>
        <item x="416"/>
        <item x="155"/>
        <item x="397"/>
        <item x="273"/>
        <item x="342"/>
        <item x="348"/>
        <item x="309"/>
        <item x="148"/>
        <item x="372"/>
        <item x="446"/>
        <item x="296"/>
        <item x="281"/>
        <item x="430"/>
        <item x="318"/>
        <item x="345"/>
        <item x="438"/>
        <item x="87"/>
        <item x="349"/>
        <item x="412"/>
        <item x="437"/>
        <item x="369"/>
        <item x="364"/>
        <item x="209"/>
        <item x="256"/>
        <item x="93"/>
        <item x="10"/>
        <item x="322"/>
        <item x="307"/>
        <item x="50"/>
        <item x="32"/>
        <item x="14"/>
        <item x="340"/>
        <item x="86"/>
        <item x="352"/>
        <item x="370"/>
        <item x="239"/>
        <item x="67"/>
        <item x="145"/>
        <item x="455"/>
        <item x="363"/>
        <item x="312"/>
        <item x="335"/>
        <item x="94"/>
        <item x="181"/>
        <item x="443"/>
        <item x="368"/>
        <item x="41"/>
        <item x="60"/>
        <item x="258"/>
        <item x="22"/>
        <item x="268"/>
        <item x="143"/>
        <item x="186"/>
        <item x="76"/>
        <item x="295"/>
        <item x="404"/>
        <item x="203"/>
        <item x="405"/>
        <item x="436"/>
        <item x="332"/>
        <item x="320"/>
        <item x="255"/>
        <item x="334"/>
        <item x="308"/>
        <item x="182"/>
        <item x="205"/>
        <item x="346"/>
        <item x="245"/>
        <item x="77"/>
        <item x="445"/>
        <item x="231"/>
        <item x="400"/>
        <item x="373"/>
        <item x="283"/>
        <item x="396"/>
        <item x="294"/>
        <item x="92"/>
        <item x="361"/>
        <item x="456"/>
        <item x="172"/>
        <item x="104"/>
        <item x="204"/>
        <item x="212"/>
        <item x="329"/>
        <item x="21"/>
        <item x="306"/>
        <item x="164"/>
        <item x="63"/>
        <item x="230"/>
        <item x="124"/>
        <item x="298"/>
        <item x="18"/>
        <item x="428"/>
        <item x="374"/>
        <item x="336"/>
        <item x="71"/>
        <item x="9"/>
        <item x="271"/>
        <item x="391"/>
        <item x="217"/>
        <item x="177"/>
        <item x="347"/>
        <item x="189"/>
        <item x="355"/>
        <item x="23"/>
        <item x="146"/>
        <item x="343"/>
        <item x="44"/>
        <item x="242"/>
        <item x="244"/>
        <item x="300"/>
        <item x="301"/>
        <item x="74"/>
        <item x="385"/>
        <item x="91"/>
        <item x="265"/>
        <item x="393"/>
        <item x="176"/>
        <item x="366"/>
        <item x="187"/>
        <item x="188"/>
        <item x="221"/>
        <item x="434"/>
        <item x="31"/>
        <item x="135"/>
        <item x="153"/>
        <item x="147"/>
        <item x="228"/>
        <item x="165"/>
        <item x="125"/>
        <item x="25"/>
        <item x="27"/>
        <item x="82"/>
        <item x="226"/>
        <item x="37"/>
        <item x="377"/>
        <item x="276"/>
        <item x="314"/>
        <item x="179"/>
        <item x="353"/>
        <item x="158"/>
        <item x="185"/>
        <item x="6"/>
        <item x="243"/>
        <item x="222"/>
        <item x="287"/>
        <item x="410"/>
        <item x="154"/>
        <item x="196"/>
        <item x="170"/>
        <item x="112"/>
        <item x="235"/>
        <item x="440"/>
        <item x="34"/>
        <item x="108"/>
        <item x="379"/>
        <item x="109"/>
        <item x="171"/>
        <item x="234"/>
        <item x="375"/>
        <item x="126"/>
        <item x="127"/>
        <item x="184"/>
        <item x="195"/>
        <item x="257"/>
        <item x="286"/>
        <item x="250"/>
        <item x="107"/>
        <item x="395"/>
        <item x="388"/>
        <item x="192"/>
        <item x="115"/>
        <item x="174"/>
        <item x="454"/>
        <item x="149"/>
        <item x="223"/>
        <item x="432"/>
        <item x="61"/>
        <item x="129"/>
        <item x="319"/>
        <item x="134"/>
        <item x="386"/>
        <item x="362"/>
        <item x="90"/>
        <item x="288"/>
        <item x="43"/>
        <item x="389"/>
        <item x="220"/>
        <item x="169"/>
        <item x="382"/>
        <item x="139"/>
        <item x="48"/>
        <item x="20"/>
        <item x="323"/>
        <item x="136"/>
        <item x="29"/>
        <item x="210"/>
        <item x="260"/>
        <item x="173"/>
        <item x="392"/>
        <item x="58"/>
        <item x="133"/>
        <item x="39"/>
        <item x="316"/>
        <item x="16"/>
        <item x="102"/>
        <item x="338"/>
        <item x="315"/>
        <item x="211"/>
        <item x="62"/>
        <item x="225"/>
        <item x="0"/>
        <item x="159"/>
        <item x="262"/>
        <item x="24"/>
        <item x="161"/>
        <item x="224"/>
        <item x="45"/>
        <item x="431"/>
        <item x="106"/>
        <item x="140"/>
        <item x="117"/>
        <item x="36"/>
        <item x="15"/>
        <item x="8"/>
        <item x="324"/>
        <item x="337"/>
        <item x="75"/>
        <item x="114"/>
        <item x="354"/>
        <item x="167"/>
        <item x="123"/>
        <item x="418"/>
        <item x="73"/>
        <item x="47"/>
        <item x="183"/>
        <item x="269"/>
        <item x="422"/>
        <item x="328"/>
        <item x="70"/>
        <item x="302"/>
        <item x="248"/>
        <item x="116"/>
        <item x="80"/>
        <item x="110"/>
        <item x="97"/>
        <item x="261"/>
        <item x="120"/>
        <item x="293"/>
        <item x="274"/>
        <item x="246"/>
        <item x="57"/>
        <item x="168"/>
        <item x="166"/>
        <item x="2"/>
        <item x="394"/>
        <item x="99"/>
        <item x="79"/>
        <item x="199"/>
        <item x="101"/>
        <item x="304"/>
        <item x="247"/>
        <item x="95"/>
        <item x="119"/>
        <item x="66"/>
        <item x="72"/>
        <item x="415"/>
        <item x="229"/>
        <item x="5"/>
        <item x="150"/>
        <item x="78"/>
        <item x="141"/>
        <item x="4"/>
        <item x="263"/>
        <item x="178"/>
        <item x="327"/>
        <item x="105"/>
        <item x="3"/>
        <item x="11"/>
        <item x="279"/>
        <item x="191"/>
        <item x="100"/>
        <item x="252"/>
        <item x="344"/>
        <item x="51"/>
        <item x="449"/>
        <item x="297"/>
        <item x="85"/>
        <item x="35"/>
        <item x="152"/>
        <item x="68"/>
        <item x="284"/>
        <item x="98"/>
        <item x="128"/>
        <item x="121"/>
        <item x="138"/>
        <item x="310"/>
        <item x="54"/>
        <item x="40"/>
        <item x="46"/>
        <item x="380"/>
        <item x="390"/>
        <item x="156"/>
        <item x="12"/>
        <item x="65"/>
        <item x="341"/>
        <item x="448"/>
        <item x="280"/>
        <item x="313"/>
        <item x="113"/>
        <item x="289"/>
        <item x="270"/>
        <item x="238"/>
        <item x="163"/>
        <item x="275"/>
        <item x="157"/>
        <item x="339"/>
        <item x="305"/>
        <item x="30"/>
        <item x="190"/>
        <item x="42"/>
        <item x="214"/>
        <item x="333"/>
        <item x="233"/>
        <item x="207"/>
        <item x="325"/>
        <item x="407"/>
        <item x="401"/>
        <item x="439"/>
        <item x="442"/>
        <item x="227"/>
        <item x="160"/>
        <item x="83"/>
        <item x="402"/>
        <item x="311"/>
        <item x="241"/>
        <item x="96"/>
        <item x="371"/>
        <item x="194"/>
        <item x="429"/>
        <item x="272"/>
        <item x="236"/>
        <item x="426"/>
        <item x="444"/>
        <item x="249"/>
        <item x="216"/>
        <item x="213"/>
        <item x="118"/>
        <item x="88"/>
        <item x="175"/>
        <item x="122"/>
        <item x="376"/>
        <item x="237"/>
        <item x="317"/>
        <item x="219"/>
        <item x="413"/>
        <item x="398"/>
        <item x="103"/>
        <item x="69"/>
        <item x="326"/>
        <item x="357"/>
        <item x="180"/>
        <item x="89"/>
        <item x="202"/>
        <item x="267"/>
        <item x="33"/>
        <item x="7"/>
        <item x="111"/>
        <item x="423"/>
        <item x="282"/>
        <item x="358"/>
        <item x="452"/>
        <item x="55"/>
        <item x="17"/>
        <item x="292"/>
        <item x="384"/>
        <item x="278"/>
        <item x="383"/>
        <item x="59"/>
        <item x="435"/>
        <item x="130"/>
        <item x="200"/>
        <item x="291"/>
        <item x="52"/>
        <item x="299"/>
        <item x="19"/>
        <item x="285"/>
        <item x="330"/>
        <item x="1"/>
        <item x="208"/>
        <item x="359"/>
        <item x="450"/>
        <item x="251"/>
        <item x="28"/>
        <item x="378"/>
        <item x="193"/>
        <item x="406"/>
        <item x="137"/>
        <item x="420"/>
        <item x="408"/>
        <item x="350"/>
        <item x="53"/>
        <item x="84"/>
        <item x="447"/>
        <item x="409"/>
        <item x="303"/>
        <item x="215"/>
        <item x="351"/>
        <item x="453"/>
        <item x="240"/>
        <item x="81"/>
        <item x="232"/>
        <item x="56"/>
        <item t="default"/>
      </items>
    </pivotField>
    <pivotField showAll="0"/>
  </pivotFields>
  <rowFields count="1">
    <field x="1"/>
  </rowFields>
  <rowItems count="25">
    <i>
      <x v="11"/>
    </i>
    <i>
      <x v="44"/>
    </i>
    <i>
      <x v="161"/>
    </i>
    <i>
      <x v="204"/>
    </i>
    <i>
      <x v="233"/>
    </i>
    <i>
      <x v="302"/>
    </i>
    <i>
      <x v="460"/>
    </i>
    <i>
      <x v="467"/>
    </i>
    <i>
      <x v="479"/>
    </i>
    <i>
      <x v="483"/>
    </i>
    <i>
      <x v="488"/>
    </i>
    <i>
      <x v="522"/>
    </i>
    <i>
      <x v="537"/>
    </i>
    <i>
      <x v="561"/>
    </i>
    <i>
      <x v="575"/>
    </i>
    <i>
      <x v="603"/>
    </i>
    <i>
      <x v="680"/>
    </i>
    <i>
      <x v="723"/>
    </i>
    <i>
      <x v="779"/>
    </i>
    <i>
      <x v="828"/>
    </i>
    <i>
      <x v="842"/>
    </i>
    <i>
      <x v="894"/>
    </i>
    <i>
      <x v="965"/>
    </i>
    <i>
      <x v="972"/>
    </i>
    <i t="grand">
      <x/>
    </i>
  </rowItems>
  <colItems count="1">
    <i/>
  </colItems>
  <pageFields count="2">
    <pageField fld="5" hier="-1"/>
    <pageField fld="15" item="456" hier="-1"/>
  </pageFields>
  <dataFields count="1">
    <dataField name="Sum of performance_scor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C2679-D954-4CBD-87B6-E321E9931DCB}" name="PivotTable2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18:F21" firstHeaderRow="1" firstDataRow="1" firstDataCol="1"/>
  <pivotFields count="17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95EFC-9162-45C2-AE05-807A07FC2966}" name="PivotTable2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18:C21" firstHeaderRow="1" firstDataRow="1" firstDataCol="1"/>
  <pivotFields count="17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113DB-C0D7-40D9-B90E-B171D240ED1F}" name="PivotTable2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:F15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5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9" subtotal="average" baseField="5" baseItem="0"/>
  </dataFields>
  <formats count="1">
    <format dxfId="26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46FA9-935B-404B-9C93-782067091C8C}" name="PivotTable2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B8:C15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5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performance_score" fld="15" subtotal="average" baseField="5" baseItem="0" numFmtId="2"/>
  </dataFields>
  <formats count="13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5" type="button" dataOnly="0" labelOnly="1" outline="0" axis="axisRow" fieldPosition="0"/>
    </format>
    <format dxfId="36">
      <pivotArea dataOnly="0" labelOnly="1" fieldPosition="0">
        <references count="1">
          <reference field="5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DD39A-EAD3-4546-BDCF-2528E2B9A5C7}" name="PivotTable4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825:U842" firstHeaderRow="1" firstDataRow="1" firstDataCol="0"/>
  <pivotFields count="17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996">
        <item x="105"/>
        <item x="563"/>
        <item x="817"/>
        <item x="174"/>
        <item x="266"/>
        <item x="810"/>
        <item x="667"/>
        <item x="455"/>
        <item x="245"/>
        <item x="883"/>
        <item x="358"/>
        <item x="356"/>
        <item x="32"/>
        <item x="781"/>
        <item x="942"/>
        <item x="877"/>
        <item x="759"/>
        <item x="40"/>
        <item x="644"/>
        <item x="946"/>
        <item x="614"/>
        <item x="820"/>
        <item x="911"/>
        <item x="691"/>
        <item x="986"/>
        <item x="636"/>
        <item x="325"/>
        <item x="819"/>
        <item x="186"/>
        <item x="613"/>
        <item x="123"/>
        <item x="955"/>
        <item x="5"/>
        <item x="439"/>
        <item x="912"/>
        <item x="409"/>
        <item x="721"/>
        <item x="36"/>
        <item x="4"/>
        <item x="388"/>
        <item x="3"/>
        <item x="763"/>
        <item x="412"/>
        <item x="392"/>
        <item x="590"/>
        <item x="131"/>
        <item x="854"/>
        <item x="424"/>
        <item x="552"/>
        <item x="871"/>
        <item x="972"/>
        <item x="664"/>
        <item x="559"/>
        <item x="879"/>
        <item x="914"/>
        <item x="501"/>
        <item x="927"/>
        <item x="934"/>
        <item x="313"/>
        <item x="592"/>
        <item x="309"/>
        <item x="194"/>
        <item x="121"/>
        <item x="660"/>
        <item x="389"/>
        <item x="42"/>
        <item x="982"/>
        <item x="310"/>
        <item x="487"/>
        <item x="454"/>
        <item x="651"/>
        <item x="119"/>
        <item x="734"/>
        <item x="707"/>
        <item x="504"/>
        <item x="346"/>
        <item x="334"/>
        <item x="548"/>
        <item x="595"/>
        <item x="583"/>
        <item x="431"/>
        <item x="25"/>
        <item x="16"/>
        <item x="72"/>
        <item x="842"/>
        <item x="303"/>
        <item x="838"/>
        <item x="207"/>
        <item x="855"/>
        <item x="256"/>
        <item x="173"/>
        <item x="901"/>
        <item x="440"/>
        <item x="534"/>
        <item x="278"/>
        <item x="509"/>
        <item x="62"/>
        <item x="959"/>
        <item x="520"/>
        <item x="852"/>
        <item x="444"/>
        <item x="229"/>
        <item x="556"/>
        <item x="913"/>
        <item x="624"/>
        <item x="60"/>
        <item x="836"/>
        <item x="402"/>
        <item x="903"/>
        <item x="214"/>
        <item x="270"/>
        <item x="978"/>
        <item x="591"/>
        <item x="155"/>
        <item x="333"/>
        <item x="48"/>
        <item x="850"/>
        <item x="658"/>
        <item x="680"/>
        <item x="384"/>
        <item x="653"/>
        <item x="778"/>
        <item x="58"/>
        <item x="698"/>
        <item x="209"/>
        <item x="195"/>
        <item x="180"/>
        <item x="75"/>
        <item x="336"/>
        <item x="700"/>
        <item x="29"/>
        <item x="134"/>
        <item x="248"/>
        <item x="635"/>
        <item x="803"/>
        <item x="604"/>
        <item x="785"/>
        <item x="293"/>
        <item x="603"/>
        <item x="99"/>
        <item x="519"/>
        <item x="461"/>
        <item x="51"/>
        <item x="93"/>
        <item x="176"/>
        <item x="908"/>
        <item x="468"/>
        <item x="163"/>
        <item x="824"/>
        <item x="887"/>
        <item x="920"/>
        <item x="360"/>
        <item x="557"/>
        <item x="373"/>
        <item x="367"/>
        <item x="65"/>
        <item x="837"/>
        <item x="993"/>
        <item x="331"/>
        <item x="769"/>
        <item x="537"/>
        <item x="523"/>
        <item x="601"/>
        <item x="465"/>
        <item x="554"/>
        <item x="326"/>
        <item x="524"/>
        <item x="902"/>
        <item x="426"/>
        <item x="219"/>
        <item x="395"/>
        <item x="206"/>
        <item x="610"/>
        <item x="13"/>
        <item x="375"/>
        <item x="320"/>
        <item x="795"/>
        <item x="380"/>
        <item x="841"/>
        <item x="549"/>
        <item x="503"/>
        <item x="843"/>
        <item x="302"/>
        <item x="208"/>
        <item x="928"/>
        <item x="922"/>
        <item x="540"/>
        <item x="260"/>
        <item x="366"/>
        <item x="790"/>
        <item x="690"/>
        <item x="103"/>
        <item x="685"/>
        <item x="931"/>
        <item x="124"/>
        <item x="764"/>
        <item x="868"/>
        <item x="587"/>
        <item x="870"/>
        <item x="420"/>
        <item x="39"/>
        <item x="952"/>
        <item x="608"/>
        <item x="213"/>
        <item x="162"/>
        <item x="735"/>
        <item x="246"/>
        <item x="401"/>
        <item x="80"/>
        <item x="581"/>
        <item x="254"/>
        <item x="779"/>
        <item x="137"/>
        <item x="54"/>
        <item x="891"/>
        <item x="578"/>
        <item x="435"/>
        <item x="832"/>
        <item x="684"/>
        <item x="362"/>
        <item x="483"/>
        <item x="87"/>
        <item x="957"/>
        <item x="809"/>
        <item x="354"/>
        <item x="917"/>
        <item x="616"/>
        <item x="230"/>
        <item x="63"/>
        <item x="410"/>
        <item x="126"/>
        <item x="122"/>
        <item x="900"/>
        <item x="397"/>
        <item x="605"/>
        <item x="626"/>
        <item x="47"/>
        <item x="416"/>
        <item x="73"/>
        <item x="948"/>
        <item x="212"/>
        <item x="692"/>
        <item x="267"/>
        <item x="670"/>
        <item x="708"/>
        <item x="298"/>
        <item x="218"/>
        <item x="541"/>
        <item x="486"/>
        <item x="479"/>
        <item x="91"/>
        <item x="414"/>
        <item x="699"/>
        <item x="342"/>
        <item x="115"/>
        <item x="264"/>
        <item x="340"/>
        <item x="34"/>
        <item x="726"/>
        <item x="729"/>
        <item x="792"/>
        <item x="456"/>
        <item x="108"/>
        <item x="947"/>
        <item x="853"/>
        <item x="441"/>
        <item x="196"/>
        <item x="973"/>
        <item x="386"/>
        <item x="860"/>
        <item x="965"/>
        <item x="55"/>
        <item x="712"/>
        <item x="632"/>
        <item x="533"/>
        <item x="12"/>
        <item x="168"/>
        <item x="742"/>
        <item x="689"/>
        <item x="284"/>
        <item x="274"/>
        <item x="237"/>
        <item x="377"/>
        <item x="704"/>
        <item x="67"/>
        <item x="812"/>
        <item x="787"/>
        <item x="598"/>
        <item x="22"/>
        <item x="777"/>
        <item x="846"/>
        <item x="8"/>
        <item x="621"/>
        <item x="956"/>
        <item x="866"/>
        <item x="953"/>
        <item x="272"/>
        <item x="656"/>
        <item x="188"/>
        <item x="659"/>
        <item x="751"/>
        <item x="23"/>
        <item x="202"/>
        <item x="845"/>
        <item x="974"/>
        <item x="964"/>
        <item x="258"/>
        <item x="925"/>
        <item x="743"/>
        <item x="950"/>
        <item x="301"/>
        <item x="404"/>
        <item x="807"/>
        <item x="677"/>
        <item x="874"/>
        <item x="299"/>
        <item x="235"/>
        <item x="488"/>
        <item x="378"/>
        <item x="361"/>
        <item x="585"/>
        <item x="100"/>
        <item x="211"/>
        <item x="95"/>
        <item x="458"/>
        <item x="594"/>
        <item x="538"/>
        <item x="290"/>
        <item x="531"/>
        <item x="381"/>
        <item x="561"/>
        <item x="932"/>
        <item x="57"/>
        <item x="873"/>
        <item x="141"/>
        <item x="460"/>
        <item x="943"/>
        <item x="405"/>
        <item x="582"/>
        <item x="165"/>
        <item x="288"/>
        <item x="363"/>
        <item x="191"/>
        <item x="14"/>
        <item x="86"/>
        <item x="936"/>
        <item x="989"/>
        <item x="694"/>
        <item x="161"/>
        <item x="944"/>
        <item x="740"/>
        <item x="184"/>
        <item x="662"/>
        <item x="535"/>
        <item x="423"/>
        <item x="189"/>
        <item x="231"/>
        <item x="983"/>
        <item x="631"/>
        <item x="979"/>
        <item x="633"/>
        <item x="315"/>
        <item x="564"/>
        <item x="484"/>
        <item x="619"/>
        <item x="937"/>
        <item x="517"/>
        <item x="847"/>
        <item x="961"/>
        <item x="427"/>
        <item x="833"/>
        <item x="525"/>
        <item x="220"/>
        <item x="53"/>
        <item x="69"/>
        <item x="418"/>
        <item x="739"/>
        <item x="466"/>
        <item x="156"/>
        <item x="352"/>
        <item x="434"/>
        <item x="383"/>
        <item x="962"/>
        <item x="289"/>
        <item x="823"/>
        <item x="515"/>
        <item x="930"/>
        <item x="92"/>
        <item x="772"/>
        <item x="44"/>
        <item x="171"/>
        <item x="337"/>
        <item x="167"/>
        <item x="240"/>
        <item x="138"/>
        <item x="890"/>
        <item x="166"/>
        <item x="139"/>
        <item x="144"/>
        <item x="933"/>
        <item x="109"/>
        <item x="238"/>
        <item x="783"/>
        <item x="815"/>
        <item x="52"/>
        <item x="316"/>
        <item x="249"/>
        <item x="462"/>
        <item x="748"/>
        <item x="472"/>
        <item x="918"/>
        <item x="10"/>
        <item x="499"/>
        <item x="365"/>
        <item x="159"/>
        <item x="329"/>
        <item x="757"/>
        <item x="663"/>
        <item x="821"/>
        <item x="935"/>
        <item x="562"/>
        <item x="169"/>
        <item x="192"/>
        <item x="951"/>
        <item x="227"/>
        <item x="286"/>
        <item x="153"/>
        <item x="273"/>
        <item x="78"/>
        <item x="822"/>
        <item x="481"/>
        <item x="262"/>
        <item x="341"/>
        <item x="97"/>
        <item x="539"/>
        <item x="175"/>
        <item x="359"/>
        <item x="645"/>
        <item x="623"/>
        <item x="311"/>
        <item x="576"/>
        <item x="471"/>
        <item x="321"/>
        <item x="43"/>
        <item x="949"/>
        <item x="893"/>
        <item x="760"/>
        <item x="896"/>
        <item x="940"/>
        <item x="0"/>
        <item x="497"/>
        <item x="502"/>
        <item x="374"/>
        <item x="627"/>
        <item x="222"/>
        <item x="7"/>
        <item x="566"/>
        <item x="143"/>
        <item x="799"/>
        <item x="840"/>
        <item x="70"/>
        <item x="33"/>
        <item x="678"/>
        <item x="45"/>
        <item x="798"/>
        <item x="926"/>
        <item x="806"/>
        <item x="776"/>
        <item x="597"/>
        <item x="599"/>
        <item x="451"/>
        <item x="584"/>
        <item x="415"/>
        <item x="478"/>
        <item x="443"/>
        <item x="530"/>
        <item x="371"/>
        <item x="628"/>
        <item x="701"/>
        <item x="307"/>
        <item x="292"/>
        <item x="835"/>
        <item x="158"/>
        <item x="84"/>
        <item x="71"/>
        <item x="984"/>
        <item x="17"/>
        <item x="693"/>
        <item x="643"/>
        <item x="570"/>
        <item x="897"/>
        <item x="545"/>
        <item x="904"/>
        <item x="324"/>
        <item x="294"/>
        <item x="625"/>
        <item x="730"/>
        <item x="910"/>
        <item x="543"/>
        <item x="646"/>
        <item x="233"/>
        <item x="802"/>
        <item x="881"/>
        <item x="878"/>
        <item x="945"/>
        <item x="856"/>
        <item x="752"/>
        <item x="869"/>
        <item x="756"/>
        <item x="243"/>
        <item x="127"/>
        <item x="27"/>
        <item x="269"/>
        <item x="94"/>
        <item x="355"/>
        <item x="251"/>
        <item x="629"/>
        <item x="489"/>
        <item x="991"/>
        <item x="492"/>
        <item x="391"/>
        <item x="433"/>
        <item x="61"/>
        <item x="834"/>
        <item x="774"/>
        <item x="317"/>
        <item x="755"/>
        <item x="328"/>
        <item x="813"/>
        <item x="675"/>
        <item x="390"/>
        <item x="287"/>
        <item x="113"/>
        <item x="250"/>
        <item x="319"/>
        <item x="132"/>
        <item x="571"/>
        <item x="642"/>
        <item x="411"/>
        <item x="494"/>
        <item x="714"/>
        <item x="101"/>
        <item x="839"/>
        <item x="775"/>
        <item x="862"/>
        <item x="217"/>
        <item x="41"/>
        <item x="738"/>
        <item x="145"/>
        <item x="634"/>
        <item x="668"/>
        <item x="428"/>
        <item x="969"/>
        <item x="140"/>
        <item x="351"/>
        <item x="987"/>
        <item x="574"/>
        <item x="18"/>
        <item x="111"/>
        <item x="650"/>
        <item x="894"/>
        <item x="569"/>
        <item x="686"/>
        <item x="280"/>
        <item x="526"/>
        <item x="640"/>
        <item x="907"/>
        <item x="376"/>
        <item x="148"/>
        <item x="532"/>
        <item x="408"/>
        <item x="703"/>
        <item x="210"/>
        <item x="770"/>
        <item x="536"/>
        <item x="971"/>
        <item x="859"/>
        <item x="297"/>
        <item x="306"/>
        <item x="898"/>
        <item x="830"/>
        <item x="150"/>
        <item x="671"/>
        <item x="421"/>
        <item x="542"/>
        <item x="600"/>
        <item x="232"/>
        <item x="511"/>
        <item x="720"/>
        <item x="547"/>
        <item x="674"/>
        <item x="864"/>
        <item x="116"/>
        <item x="831"/>
        <item x="261"/>
        <item x="339"/>
        <item x="617"/>
        <item x="661"/>
        <item x="963"/>
        <item x="393"/>
        <item x="277"/>
        <item x="796"/>
        <item x="710"/>
        <item x="68"/>
        <item x="79"/>
        <item x="15"/>
        <item x="241"/>
        <item x="727"/>
        <item x="876"/>
        <item x="827"/>
        <item x="37"/>
        <item x="77"/>
        <item x="705"/>
        <item x="596"/>
        <item x="758"/>
        <item x="512"/>
        <item x="76"/>
        <item x="814"/>
        <item x="929"/>
        <item x="467"/>
        <item x="281"/>
        <item x="28"/>
        <item x="895"/>
        <item x="56"/>
        <item x="279"/>
        <item x="641"/>
        <item x="149"/>
        <item x="49"/>
        <item x="413"/>
        <item x="848"/>
        <item x="9"/>
        <item x="382"/>
        <item x="791"/>
        <item x="749"/>
        <item x="731"/>
        <item x="31"/>
        <item x="565"/>
        <item x="612"/>
        <item x="370"/>
        <item x="348"/>
        <item x="888"/>
        <item x="960"/>
        <item x="225"/>
        <item x="152"/>
        <item x="762"/>
        <item x="851"/>
        <item x="994"/>
        <item x="21"/>
        <item x="452"/>
        <item x="490"/>
        <item x="446"/>
        <item x="226"/>
        <item x="128"/>
        <item x="672"/>
        <item x="553"/>
        <item x="257"/>
        <item x="867"/>
        <item x="909"/>
        <item x="551"/>
        <item x="579"/>
        <item x="305"/>
        <item x="967"/>
        <item x="223"/>
        <item x="247"/>
        <item x="630"/>
        <item x="282"/>
        <item x="666"/>
        <item x="648"/>
        <item x="514"/>
        <item x="804"/>
        <item x="480"/>
        <item x="800"/>
        <item x="975"/>
        <item x="345"/>
        <item x="771"/>
        <item x="476"/>
        <item x="259"/>
        <item x="98"/>
        <item x="187"/>
        <item x="702"/>
        <item x="713"/>
        <item x="529"/>
        <item x="417"/>
        <item x="715"/>
        <item x="234"/>
        <item x="905"/>
        <item x="593"/>
        <item x="430"/>
        <item x="151"/>
        <item x="193"/>
        <item x="976"/>
        <item x="74"/>
        <item x="357"/>
        <item x="183"/>
        <item x="750"/>
        <item x="318"/>
        <item x="398"/>
        <item x="146"/>
        <item x="457"/>
        <item x="518"/>
        <item x="695"/>
        <item x="106"/>
        <item x="507"/>
        <item x="639"/>
        <item x="496"/>
        <item x="784"/>
        <item x="271"/>
        <item x="30"/>
        <item x="265"/>
        <item x="185"/>
        <item x="825"/>
        <item x="572"/>
        <item x="602"/>
        <item x="81"/>
        <item x="589"/>
        <item x="89"/>
        <item x="718"/>
        <item x="882"/>
        <item x="385"/>
        <item x="737"/>
        <item x="335"/>
        <item x="722"/>
        <item x="242"/>
        <item x="638"/>
        <item x="719"/>
        <item x="130"/>
        <item x="353"/>
        <item x="728"/>
        <item x="295"/>
        <item x="510"/>
        <item x="129"/>
        <item x="179"/>
        <item x="178"/>
        <item x="330"/>
        <item x="469"/>
        <item x="958"/>
        <item x="786"/>
        <item x="889"/>
        <item x="697"/>
        <item x="442"/>
        <item x="473"/>
        <item x="338"/>
        <item x="244"/>
        <item x="459"/>
        <item x="606"/>
        <item x="102"/>
        <item x="560"/>
        <item x="687"/>
        <item x="255"/>
        <item x="429"/>
        <item x="172"/>
        <item x="980"/>
        <item x="107"/>
        <item x="954"/>
        <item x="899"/>
        <item x="808"/>
        <item x="104"/>
        <item x="829"/>
        <item x="136"/>
        <item x="811"/>
        <item x="327"/>
        <item x="797"/>
        <item x="425"/>
        <item x="767"/>
        <item x="924"/>
        <item x="857"/>
        <item x="683"/>
        <item x="88"/>
        <item x="573"/>
        <item x="350"/>
        <item x="19"/>
        <item x="733"/>
        <item x="164"/>
        <item x="990"/>
        <item x="637"/>
        <item x="120"/>
        <item x="190"/>
        <item x="239"/>
        <item x="544"/>
        <item x="263"/>
        <item x="215"/>
        <item x="200"/>
        <item x="558"/>
        <item x="977"/>
        <item x="252"/>
        <item x="522"/>
        <item x="747"/>
        <item x="880"/>
        <item x="706"/>
        <item x="135"/>
        <item x="304"/>
        <item x="745"/>
        <item x="886"/>
        <item x="647"/>
        <item x="765"/>
        <item x="485"/>
        <item x="746"/>
        <item x="399"/>
        <item x="197"/>
        <item x="555"/>
        <item x="676"/>
        <item x="818"/>
        <item x="844"/>
        <item x="403"/>
        <item x="387"/>
        <item x="992"/>
        <item x="655"/>
        <item x="96"/>
        <item x="669"/>
        <item x="768"/>
        <item x="449"/>
        <item x="654"/>
        <item x="493"/>
        <item x="939"/>
        <item x="906"/>
        <item x="516"/>
        <item x="725"/>
        <item x="580"/>
        <item x="849"/>
        <item x="453"/>
        <item x="470"/>
        <item x="495"/>
        <item x="801"/>
        <item x="622"/>
        <item x="723"/>
        <item x="682"/>
        <item x="968"/>
        <item x="438"/>
        <item x="567"/>
        <item x="463"/>
        <item x="865"/>
        <item x="679"/>
        <item x="550"/>
        <item x="709"/>
        <item x="885"/>
        <item x="437"/>
        <item x="988"/>
        <item x="268"/>
        <item x="607"/>
        <item x="1"/>
        <item x="323"/>
        <item x="20"/>
        <item x="586"/>
        <item x="157"/>
        <item x="588"/>
        <item x="788"/>
        <item x="527"/>
        <item x="276"/>
        <item x="35"/>
        <item x="577"/>
        <item x="618"/>
        <item x="364"/>
        <item x="50"/>
        <item x="125"/>
        <item x="406"/>
        <item x="296"/>
        <item x="506"/>
        <item x="477"/>
        <item x="754"/>
        <item x="154"/>
        <item x="285"/>
        <item x="474"/>
        <item x="133"/>
        <item x="464"/>
        <item x="59"/>
        <item x="789"/>
        <item x="793"/>
        <item x="394"/>
        <item x="64"/>
        <item x="657"/>
        <item x="369"/>
        <item x="688"/>
        <item x="368"/>
        <item x="916"/>
        <item x="400"/>
        <item x="816"/>
        <item x="921"/>
        <item x="673"/>
        <item x="915"/>
        <item x="142"/>
        <item x="872"/>
        <item x="652"/>
        <item x="147"/>
        <item x="970"/>
        <item x="407"/>
        <item x="500"/>
        <item x="941"/>
        <item x="615"/>
        <item x="773"/>
        <item x="2"/>
        <item x="117"/>
        <item x="665"/>
        <item x="24"/>
        <item x="6"/>
        <item x="528"/>
        <item x="204"/>
        <item x="681"/>
        <item x="26"/>
        <item x="450"/>
        <item x="112"/>
        <item x="422"/>
        <item x="508"/>
        <item x="82"/>
        <item x="753"/>
        <item x="794"/>
        <item x="575"/>
        <item x="349"/>
        <item x="85"/>
        <item x="491"/>
        <item x="766"/>
        <item x="203"/>
        <item x="396"/>
        <item x="780"/>
        <item x="283"/>
        <item x="761"/>
        <item x="46"/>
        <item x="332"/>
        <item x="923"/>
        <item x="717"/>
        <item x="568"/>
        <item x="884"/>
        <item x="38"/>
        <item x="160"/>
        <item x="711"/>
        <item x="347"/>
        <item x="805"/>
        <item x="513"/>
        <item x="11"/>
        <item x="228"/>
        <item x="118"/>
        <item x="177"/>
        <item x="322"/>
        <item x="83"/>
        <item x="863"/>
        <item x="181"/>
        <item x="201"/>
        <item x="966"/>
        <item x="66"/>
        <item x="782"/>
        <item x="372"/>
        <item x="482"/>
        <item x="724"/>
        <item x="253"/>
        <item x="828"/>
        <item x="741"/>
        <item x="875"/>
        <item x="198"/>
        <item x="275"/>
        <item x="312"/>
        <item x="236"/>
        <item x="736"/>
        <item x="861"/>
        <item x="216"/>
        <item x="205"/>
        <item x="609"/>
        <item x="445"/>
        <item x="432"/>
        <item x="199"/>
        <item x="826"/>
        <item x="938"/>
        <item x="858"/>
        <item x="224"/>
        <item x="110"/>
        <item x="436"/>
        <item x="696"/>
        <item x="419"/>
        <item x="505"/>
        <item x="498"/>
        <item x="620"/>
        <item x="114"/>
        <item x="343"/>
        <item x="291"/>
        <item x="611"/>
        <item x="300"/>
        <item x="182"/>
        <item x="744"/>
        <item x="447"/>
        <item x="475"/>
        <item x="732"/>
        <item x="170"/>
        <item x="649"/>
        <item x="919"/>
        <item x="314"/>
        <item x="344"/>
        <item x="308"/>
        <item x="90"/>
        <item x="716"/>
        <item x="546"/>
        <item x="448"/>
        <item x="985"/>
        <item x="892"/>
        <item x="521"/>
        <item x="379"/>
        <item x="981"/>
        <item x="22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C331C0-8E2B-47C3-807E-5E5306731A9B}" name="Table3" displayName="Table3" ref="B3:F4" totalsRowShown="0" headerRowDxfId="25" dataDxfId="24">
  <autoFilter ref="B3:F4" xr:uid="{4BC331C0-8E2B-47C3-807E-5E5306731A9B}"/>
  <tableColumns count="5">
    <tableColumn id="1" xr3:uid="{C3B1CC09-9B22-4E3F-B758-C2C7C13AE350}" name="Total Employees" dataDxfId="23">
      <calculatedColumnFormula>COUNTA(Table4[employee_id])</calculatedColumnFormula>
    </tableColumn>
    <tableColumn id="2" xr3:uid="{233A4327-FB85-4A95-8121-2E3FD551B655}" name="Average Salary" dataDxfId="22">
      <calculatedColumnFormula>AVERAGE(Table4[salary])</calculatedColumnFormula>
    </tableColumn>
    <tableColumn id="3" xr3:uid="{A73B5BBB-6B92-4141-BDD1-106FCAF6A762}" name="Best Department" dataDxfId="21"/>
    <tableColumn id="4" xr3:uid="{63505487-6CCC-424C-BCD6-3BD6FD84A3FA}" name="Highest Performer" dataDxfId="20">
      <calculatedColumnFormula>MAX(Table4[performance_score])</calculatedColumnFormula>
    </tableColumn>
    <tableColumn id="5" xr3:uid="{349B495E-8C03-42AD-A50E-464283C1E908}" name="Promotion Rate" dataDxfId="19">
      <calculatedColumnFormula>COUNTIF(Table4[promotion],"Yes")/COUNTA(Table4[promotion])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E0A444-B2DC-4516-836E-9C7D5ECF8276}" name="Table4" displayName="Table4" ref="A1:Q1001" totalsRowShown="0" headerRowDxfId="18" dataDxfId="17">
  <autoFilter ref="A1:Q1001" xr:uid="{90E0A444-B2DC-4516-836E-9C7D5ECF8276}"/>
  <tableColumns count="17">
    <tableColumn id="1" xr3:uid="{1FCBAF9A-D0D1-4671-A285-6A2676A4EBB8}" name="employee_id" dataDxfId="16"/>
    <tableColumn id="2" xr3:uid="{360CC220-863D-40CC-971C-34B96F866B61}" name="employee_name" dataDxfId="15"/>
    <tableColumn id="3" xr3:uid="{110F9AA1-3230-438E-BD15-4FE10C1B28C8}" name="gender" dataDxfId="14"/>
    <tableColumn id="4" xr3:uid="{6124903F-2E69-4A1F-BE0C-6C022FFDE4DE}" name="age" dataDxfId="13"/>
    <tableColumn id="5" xr3:uid="{C0BD7CAC-04E2-4F21-9EB0-4A47293F1A73}" name="city" dataDxfId="12"/>
    <tableColumn id="6" xr3:uid="{7CDBE9A0-8361-4DDA-B596-13A39583D37A}" name="department" dataDxfId="11"/>
    <tableColumn id="7" xr3:uid="{B14AC4DF-33E0-463B-A3CE-0B8A006AD9BA}" name="job_role" dataDxfId="10"/>
    <tableColumn id="8" xr3:uid="{3BFB433A-FF1C-4DFA-B712-662577B3070A}" name="education_level" dataDxfId="9"/>
    <tableColumn id="9" xr3:uid="{B0D21DA0-4634-4290-8DAC-13248E3D191F}" name="experience_years" dataDxfId="8"/>
    <tableColumn id="10" xr3:uid="{98D23AD1-5A64-4944-B89C-72CD9145989E}" name="salary" dataDxfId="7"/>
    <tableColumn id="11" xr3:uid="{9222080E-98FB-4B76-9B4C-F13AEA9C0CC9}" name="attendance_percentage" dataDxfId="6"/>
    <tableColumn id="12" xr3:uid="{0FACA498-0622-4790-8F9B-6EFCEDE4F9CC}" name="projects_completed" dataDxfId="5"/>
    <tableColumn id="13" xr3:uid="{7DC202ED-73BD-4259-85E6-9C0746D3F099}" name="overtime_hours" dataDxfId="4"/>
    <tableColumn id="14" xr3:uid="{F18D84F2-4281-4928-BF39-88F615495C0D}" name="training_hours" dataDxfId="3"/>
    <tableColumn id="15" xr3:uid="{82ECBE3F-0DEB-446B-983E-7DA0F2651A69}" name="job_satisfaction" dataDxfId="2"/>
    <tableColumn id="16" xr3:uid="{8AB33631-3259-42B0-BD3A-ABCE77045011}" name="performance_score" dataDxfId="1"/>
    <tableColumn id="17" xr3:uid="{4F1567E2-0B04-439A-8FA4-67FFE01F8772}" name="promo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B60C-4A14-46AB-A2F2-71459B85C192}">
  <dimension ref="B1:M29"/>
  <sheetViews>
    <sheetView tabSelected="1" topLeftCell="A37" zoomScale="70" zoomScaleNormal="70" workbookViewId="0">
      <selection activeCell="V42" sqref="V42"/>
    </sheetView>
  </sheetViews>
  <sheetFormatPr defaultRowHeight="14.4" x14ac:dyDescent="0.3"/>
  <cols>
    <col min="1" max="2" width="12.5546875" bestFit="1" customWidth="1"/>
    <col min="3" max="3" width="19.88671875" bestFit="1" customWidth="1"/>
    <col min="4" max="4" width="19.6640625" bestFit="1" customWidth="1"/>
    <col min="5" max="5" width="15.88671875" customWidth="1"/>
    <col min="6" max="6" width="19.88671875" bestFit="1" customWidth="1"/>
    <col min="7" max="8" width="12.5546875" bestFit="1" customWidth="1"/>
    <col min="9" max="9" width="25" bestFit="1" customWidth="1"/>
    <col min="12" max="12" width="17.21875" bestFit="1" customWidth="1"/>
    <col min="13" max="13" width="24.109375" bestFit="1" customWidth="1"/>
    <col min="14" max="15" width="8" bestFit="1" customWidth="1"/>
    <col min="16" max="16" width="9.6640625" bestFit="1" customWidth="1"/>
    <col min="17" max="17" width="10.21875" bestFit="1" customWidth="1"/>
    <col min="18" max="18" width="8" bestFit="1" customWidth="1"/>
    <col min="19" max="19" width="10.77734375" bestFit="1" customWidth="1"/>
  </cols>
  <sheetData>
    <row r="1" spans="2:13" ht="18" x14ac:dyDescent="0.3">
      <c r="B1" s="19" t="s">
        <v>35</v>
      </c>
      <c r="C1" s="19"/>
      <c r="D1" s="19"/>
      <c r="E1" s="19"/>
      <c r="F1" s="19"/>
      <c r="L1" s="10" t="s">
        <v>41</v>
      </c>
      <c r="M1" t="s">
        <v>2069</v>
      </c>
    </row>
    <row r="2" spans="2:13" x14ac:dyDescent="0.3">
      <c r="L2" s="10" t="s">
        <v>51</v>
      </c>
      <c r="M2" s="11">
        <v>10</v>
      </c>
    </row>
    <row r="3" spans="2:13" x14ac:dyDescent="0.3"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</row>
    <row r="4" spans="2:13" x14ac:dyDescent="0.3">
      <c r="B4" s="12">
        <f>COUNTA(Table4[employee_id])</f>
        <v>1000</v>
      </c>
      <c r="C4" s="14">
        <f>AVERAGE(Table4[salary])</f>
        <v>92592.043999999994</v>
      </c>
      <c r="D4" s="12" t="s">
        <v>15</v>
      </c>
      <c r="E4" s="12">
        <f>MAX(Table4[performance_score])</f>
        <v>10</v>
      </c>
      <c r="F4" s="15">
        <f>COUNTIF(Table4[promotion],"Yes")/COUNTA(Table4[promotion])</f>
        <v>0.189</v>
      </c>
      <c r="L4" s="10" t="s">
        <v>25</v>
      </c>
      <c r="M4" t="s">
        <v>2068</v>
      </c>
    </row>
    <row r="5" spans="2:13" x14ac:dyDescent="0.3">
      <c r="L5" s="11" t="s">
        <v>790</v>
      </c>
      <c r="M5" s="20">
        <v>10</v>
      </c>
    </row>
    <row r="6" spans="2:13" x14ac:dyDescent="0.3">
      <c r="L6" s="11" t="s">
        <v>1258</v>
      </c>
      <c r="M6" s="20">
        <v>10</v>
      </c>
    </row>
    <row r="7" spans="2:13" x14ac:dyDescent="0.3">
      <c r="B7" s="17" t="s">
        <v>32</v>
      </c>
      <c r="C7" s="17"/>
      <c r="E7" s="17" t="s">
        <v>33</v>
      </c>
      <c r="F7" s="17"/>
      <c r="L7" s="11" t="s">
        <v>1125</v>
      </c>
      <c r="M7" s="20">
        <v>10</v>
      </c>
    </row>
    <row r="8" spans="2:13" x14ac:dyDescent="0.3">
      <c r="B8" s="13" t="s">
        <v>25</v>
      </c>
      <c r="C8" s="12" t="s">
        <v>2065</v>
      </c>
      <c r="D8" s="12"/>
      <c r="E8" s="10" t="s">
        <v>25</v>
      </c>
      <c r="F8" t="s">
        <v>2066</v>
      </c>
      <c r="L8" s="11" t="s">
        <v>407</v>
      </c>
      <c r="M8" s="20">
        <v>10</v>
      </c>
    </row>
    <row r="9" spans="2:13" x14ac:dyDescent="0.3">
      <c r="B9" s="12" t="s">
        <v>12</v>
      </c>
      <c r="C9" s="15">
        <v>7.1926857142857159</v>
      </c>
      <c r="D9" s="12"/>
      <c r="E9" s="11" t="s">
        <v>12</v>
      </c>
      <c r="F9" s="16">
        <v>108957.48571428571</v>
      </c>
      <c r="L9" s="11" t="s">
        <v>873</v>
      </c>
      <c r="M9" s="20">
        <v>10</v>
      </c>
    </row>
    <row r="10" spans="2:13" x14ac:dyDescent="0.3">
      <c r="B10" s="12" t="s">
        <v>13</v>
      </c>
      <c r="C10" s="15">
        <v>7.3329508196721287</v>
      </c>
      <c r="D10" s="12"/>
      <c r="E10" s="11" t="s">
        <v>13</v>
      </c>
      <c r="F10" s="16">
        <v>69806.901639344258</v>
      </c>
      <c r="L10" s="11" t="s">
        <v>486</v>
      </c>
      <c r="M10" s="20">
        <v>10</v>
      </c>
    </row>
    <row r="11" spans="2:13" x14ac:dyDescent="0.3">
      <c r="B11" s="12" t="s">
        <v>14</v>
      </c>
      <c r="C11" s="15">
        <v>7.162684563758388</v>
      </c>
      <c r="D11" s="15"/>
      <c r="E11" s="11" t="s">
        <v>14</v>
      </c>
      <c r="F11" s="16">
        <v>117766.53691275168</v>
      </c>
      <c r="L11" s="11" t="s">
        <v>221</v>
      </c>
      <c r="M11" s="20">
        <v>10</v>
      </c>
    </row>
    <row r="12" spans="2:13" x14ac:dyDescent="0.3">
      <c r="B12" s="12" t="s">
        <v>17</v>
      </c>
      <c r="C12" s="15">
        <v>7.2953797468354464</v>
      </c>
      <c r="D12" s="12"/>
      <c r="E12" s="11" t="s">
        <v>17</v>
      </c>
      <c r="F12" s="16">
        <v>94531.898734177215</v>
      </c>
      <c r="L12" s="11" t="s">
        <v>1629</v>
      </c>
      <c r="M12" s="20">
        <v>10</v>
      </c>
    </row>
    <row r="13" spans="2:13" x14ac:dyDescent="0.3">
      <c r="B13" s="12" t="s">
        <v>16</v>
      </c>
      <c r="C13" s="15">
        <v>7.3269325153374227</v>
      </c>
      <c r="D13" s="12"/>
      <c r="E13" s="11" t="s">
        <v>16</v>
      </c>
      <c r="F13" s="16">
        <v>79358.331288343557</v>
      </c>
      <c r="L13" s="11" t="s">
        <v>693</v>
      </c>
      <c r="M13" s="20">
        <v>10</v>
      </c>
    </row>
    <row r="14" spans="2:13" x14ac:dyDescent="0.3">
      <c r="B14" s="12" t="s">
        <v>15</v>
      </c>
      <c r="C14" s="15">
        <v>7.461337209302326</v>
      </c>
      <c r="D14" s="12"/>
      <c r="E14" s="11" t="s">
        <v>15</v>
      </c>
      <c r="F14" s="16">
        <v>89134.645348837206</v>
      </c>
      <c r="L14" s="11" t="s">
        <v>250</v>
      </c>
      <c r="M14" s="20">
        <v>10</v>
      </c>
    </row>
    <row r="15" spans="2:13" x14ac:dyDescent="0.3">
      <c r="B15" s="12" t="s">
        <v>26</v>
      </c>
      <c r="C15" s="15">
        <v>7.2981999999999969</v>
      </c>
      <c r="D15" s="12"/>
      <c r="E15" s="11" t="s">
        <v>26</v>
      </c>
      <c r="F15">
        <v>92592.043999999994</v>
      </c>
      <c r="L15" s="11" t="s">
        <v>1364</v>
      </c>
      <c r="M15" s="20">
        <v>10</v>
      </c>
    </row>
    <row r="16" spans="2:13" x14ac:dyDescent="0.3">
      <c r="B16" s="12"/>
      <c r="D16" s="12"/>
      <c r="L16" s="11" t="s">
        <v>203</v>
      </c>
      <c r="M16" s="20">
        <v>10</v>
      </c>
    </row>
    <row r="17" spans="2:13" x14ac:dyDescent="0.3">
      <c r="B17" s="18" t="s">
        <v>31</v>
      </c>
      <c r="C17" s="18"/>
      <c r="D17" s="12"/>
      <c r="E17" s="17" t="s">
        <v>34</v>
      </c>
      <c r="F17" s="17"/>
      <c r="L17" s="11" t="s">
        <v>1362</v>
      </c>
      <c r="M17" s="20">
        <v>10</v>
      </c>
    </row>
    <row r="18" spans="2:13" x14ac:dyDescent="0.3">
      <c r="B18" s="10" t="s">
        <v>25</v>
      </c>
      <c r="C18" t="s">
        <v>2067</v>
      </c>
      <c r="E18" s="10" t="s">
        <v>25</v>
      </c>
      <c r="F18" t="s">
        <v>2067</v>
      </c>
      <c r="L18" s="11" t="s">
        <v>1217</v>
      </c>
      <c r="M18" s="20">
        <v>10</v>
      </c>
    </row>
    <row r="19" spans="2:13" x14ac:dyDescent="0.3">
      <c r="B19" s="11" t="s">
        <v>23</v>
      </c>
      <c r="C19">
        <v>811</v>
      </c>
      <c r="E19" s="11" t="s">
        <v>18</v>
      </c>
      <c r="F19">
        <v>523</v>
      </c>
      <c r="L19" s="11" t="s">
        <v>2017</v>
      </c>
      <c r="M19" s="20">
        <v>10</v>
      </c>
    </row>
    <row r="20" spans="2:13" x14ac:dyDescent="0.3">
      <c r="B20" s="11" t="s">
        <v>24</v>
      </c>
      <c r="C20">
        <v>189</v>
      </c>
      <c r="E20" s="11" t="s">
        <v>19</v>
      </c>
      <c r="F20">
        <v>477</v>
      </c>
      <c r="L20" s="11" t="s">
        <v>217</v>
      </c>
      <c r="M20" s="20">
        <v>10</v>
      </c>
    </row>
    <row r="21" spans="2:13" x14ac:dyDescent="0.3">
      <c r="B21" s="11" t="s">
        <v>26</v>
      </c>
      <c r="C21">
        <v>1000</v>
      </c>
      <c r="E21" s="11" t="s">
        <v>26</v>
      </c>
      <c r="F21">
        <v>1000</v>
      </c>
      <c r="L21" s="11" t="s">
        <v>1504</v>
      </c>
      <c r="M21" s="20">
        <v>10</v>
      </c>
    </row>
    <row r="22" spans="2:13" x14ac:dyDescent="0.3">
      <c r="L22" s="11" t="s">
        <v>1354</v>
      </c>
      <c r="M22" s="20">
        <v>10</v>
      </c>
    </row>
    <row r="23" spans="2:13" x14ac:dyDescent="0.3">
      <c r="L23" s="11" t="s">
        <v>605</v>
      </c>
      <c r="M23" s="20">
        <v>10</v>
      </c>
    </row>
    <row r="24" spans="2:13" x14ac:dyDescent="0.3">
      <c r="L24" s="11" t="s">
        <v>1213</v>
      </c>
      <c r="M24" s="20">
        <v>10</v>
      </c>
    </row>
    <row r="25" spans="2:13" x14ac:dyDescent="0.3">
      <c r="L25" s="11" t="s">
        <v>11</v>
      </c>
      <c r="M25" s="20">
        <v>10</v>
      </c>
    </row>
    <row r="26" spans="2:13" x14ac:dyDescent="0.3">
      <c r="L26" s="11" t="s">
        <v>1135</v>
      </c>
      <c r="M26" s="20">
        <v>10</v>
      </c>
    </row>
    <row r="27" spans="2:13" x14ac:dyDescent="0.3">
      <c r="L27" s="11" t="s">
        <v>917</v>
      </c>
      <c r="M27" s="20">
        <v>10</v>
      </c>
    </row>
    <row r="28" spans="2:13" x14ac:dyDescent="0.3">
      <c r="L28" s="11" t="s">
        <v>1300</v>
      </c>
      <c r="M28" s="20">
        <v>10</v>
      </c>
    </row>
    <row r="29" spans="2:13" x14ac:dyDescent="0.3">
      <c r="L29" s="11" t="s">
        <v>26</v>
      </c>
      <c r="M29" s="20">
        <v>240</v>
      </c>
    </row>
  </sheetData>
  <mergeCells count="5">
    <mergeCell ref="B7:C7"/>
    <mergeCell ref="E17:F17"/>
    <mergeCell ref="B17:C17"/>
    <mergeCell ref="E7:F7"/>
    <mergeCell ref="B1:F1"/>
  </mergeCells>
  <pageMargins left="0.7" right="0.7" top="0.75" bottom="0.75" header="0.3" footer="0.3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opLeftCell="A2" workbookViewId="0">
      <selection sqref="A1:Q1001"/>
    </sheetView>
  </sheetViews>
  <sheetFormatPr defaultRowHeight="14.4" x14ac:dyDescent="0.3"/>
  <cols>
    <col min="1" max="1" width="13.77734375" customWidth="1"/>
    <col min="2" max="2" width="17" customWidth="1"/>
    <col min="6" max="6" width="12.88671875" customWidth="1"/>
    <col min="7" max="7" width="27.88671875" bestFit="1" customWidth="1"/>
    <col min="8" max="8" width="16.21875" customWidth="1"/>
    <col min="9" max="9" width="17.44140625" customWidth="1"/>
    <col min="11" max="11" width="22.88671875" customWidth="1"/>
    <col min="12" max="12" width="19.6640625" customWidth="1"/>
    <col min="13" max="13" width="16.21875" customWidth="1"/>
    <col min="14" max="14" width="15.109375" customWidth="1"/>
    <col min="15" max="15" width="16.21875" customWidth="1"/>
    <col min="16" max="16" width="19.21875" customWidth="1"/>
    <col min="17" max="17" width="11.88671875" customWidth="1"/>
    <col min="19" max="19" width="12.5546875" bestFit="1" customWidth="1"/>
  </cols>
  <sheetData>
    <row r="1" spans="1:17" x14ac:dyDescent="0.3">
      <c r="A1" s="12" t="s">
        <v>36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12" t="s">
        <v>47</v>
      </c>
      <c r="M1" s="12" t="s">
        <v>48</v>
      </c>
      <c r="N1" s="12" t="s">
        <v>49</v>
      </c>
      <c r="O1" s="12" t="s">
        <v>50</v>
      </c>
      <c r="P1" s="12" t="s">
        <v>51</v>
      </c>
      <c r="Q1" s="12" t="s">
        <v>52</v>
      </c>
    </row>
    <row r="2" spans="1:17" x14ac:dyDescent="0.3">
      <c r="A2" s="12" t="s">
        <v>53</v>
      </c>
      <c r="B2" s="12" t="s">
        <v>54</v>
      </c>
      <c r="C2" s="12" t="s">
        <v>18</v>
      </c>
      <c r="D2" s="12">
        <v>47</v>
      </c>
      <c r="E2" s="12" t="s">
        <v>55</v>
      </c>
      <c r="F2" s="12" t="s">
        <v>13</v>
      </c>
      <c r="G2" s="12" t="s">
        <v>56</v>
      </c>
      <c r="H2" s="12" t="s">
        <v>57</v>
      </c>
      <c r="I2" s="12">
        <v>25</v>
      </c>
      <c r="J2" s="12">
        <v>90313</v>
      </c>
      <c r="K2" s="12">
        <v>65.23</v>
      </c>
      <c r="L2" s="12">
        <v>6</v>
      </c>
      <c r="M2" s="12">
        <v>40</v>
      </c>
      <c r="N2" s="12">
        <v>83</v>
      </c>
      <c r="O2" s="12" t="s">
        <v>21</v>
      </c>
      <c r="P2" s="12">
        <v>7.41</v>
      </c>
      <c r="Q2" s="12" t="s">
        <v>23</v>
      </c>
    </row>
    <row r="3" spans="1:17" x14ac:dyDescent="0.3">
      <c r="A3" s="12" t="s">
        <v>58</v>
      </c>
      <c r="B3" s="12" t="s">
        <v>59</v>
      </c>
      <c r="C3" s="12" t="s">
        <v>19</v>
      </c>
      <c r="D3" s="12">
        <v>44</v>
      </c>
      <c r="E3" s="12" t="s">
        <v>60</v>
      </c>
      <c r="F3" s="12" t="s">
        <v>15</v>
      </c>
      <c r="G3" s="12" t="s">
        <v>61</v>
      </c>
      <c r="H3" s="12" t="s">
        <v>62</v>
      </c>
      <c r="I3" s="12">
        <v>16</v>
      </c>
      <c r="J3" s="12">
        <v>113560</v>
      </c>
      <c r="K3" s="12">
        <v>98.5</v>
      </c>
      <c r="L3" s="12">
        <v>14</v>
      </c>
      <c r="M3" s="12">
        <v>28</v>
      </c>
      <c r="N3" s="12">
        <v>94</v>
      </c>
      <c r="O3" s="12" t="s">
        <v>20</v>
      </c>
      <c r="P3" s="12">
        <v>9.56</v>
      </c>
      <c r="Q3" s="12" t="s">
        <v>24</v>
      </c>
    </row>
    <row r="4" spans="1:17" x14ac:dyDescent="0.3">
      <c r="A4" s="12" t="s">
        <v>63</v>
      </c>
      <c r="B4" s="12" t="s">
        <v>64</v>
      </c>
      <c r="C4" s="12" t="s">
        <v>18</v>
      </c>
      <c r="D4" s="12">
        <v>50</v>
      </c>
      <c r="E4" s="12" t="s">
        <v>65</v>
      </c>
      <c r="F4" s="12" t="s">
        <v>13</v>
      </c>
      <c r="G4" s="12" t="s">
        <v>66</v>
      </c>
      <c r="H4" s="12" t="s">
        <v>62</v>
      </c>
      <c r="I4" s="12">
        <v>19</v>
      </c>
      <c r="J4" s="12">
        <v>47826</v>
      </c>
      <c r="K4" s="12">
        <v>95.98</v>
      </c>
      <c r="L4" s="12">
        <v>5</v>
      </c>
      <c r="M4" s="12">
        <v>12</v>
      </c>
      <c r="N4" s="12">
        <v>36</v>
      </c>
      <c r="O4" s="12" t="s">
        <v>22</v>
      </c>
      <c r="P4" s="12">
        <v>7.86</v>
      </c>
      <c r="Q4" s="12" t="s">
        <v>23</v>
      </c>
    </row>
    <row r="5" spans="1:17" x14ac:dyDescent="0.3">
      <c r="A5" s="12" t="s">
        <v>67</v>
      </c>
      <c r="B5" s="12" t="s">
        <v>68</v>
      </c>
      <c r="C5" s="12" t="s">
        <v>19</v>
      </c>
      <c r="D5" s="12">
        <v>33</v>
      </c>
      <c r="E5" s="12" t="s">
        <v>69</v>
      </c>
      <c r="F5" s="12" t="s">
        <v>14</v>
      </c>
      <c r="G5" s="12" t="s">
        <v>70</v>
      </c>
      <c r="H5" s="12" t="s">
        <v>57</v>
      </c>
      <c r="I5" s="12">
        <v>1</v>
      </c>
      <c r="J5" s="12">
        <v>117188</v>
      </c>
      <c r="K5" s="12">
        <v>81.17</v>
      </c>
      <c r="L5" s="12">
        <v>15</v>
      </c>
      <c r="M5" s="12">
        <v>10</v>
      </c>
      <c r="N5" s="12">
        <v>102</v>
      </c>
      <c r="O5" s="12" t="s">
        <v>21</v>
      </c>
      <c r="P5" s="12">
        <v>8.1199999999999992</v>
      </c>
      <c r="Q5" s="12" t="s">
        <v>23</v>
      </c>
    </row>
    <row r="6" spans="1:17" x14ac:dyDescent="0.3">
      <c r="A6" s="12" t="s">
        <v>71</v>
      </c>
      <c r="B6" s="12" t="s">
        <v>72</v>
      </c>
      <c r="C6" s="12" t="s">
        <v>18</v>
      </c>
      <c r="D6" s="12">
        <v>57</v>
      </c>
      <c r="E6" s="12" t="s">
        <v>55</v>
      </c>
      <c r="F6" s="12" t="s">
        <v>15</v>
      </c>
      <c r="G6" s="12" t="s">
        <v>73</v>
      </c>
      <c r="H6" s="12" t="s">
        <v>57</v>
      </c>
      <c r="I6" s="12">
        <v>20</v>
      </c>
      <c r="J6" s="12">
        <v>140208</v>
      </c>
      <c r="K6" s="12">
        <v>73.97</v>
      </c>
      <c r="L6" s="12">
        <v>12</v>
      </c>
      <c r="M6" s="12">
        <v>33</v>
      </c>
      <c r="N6" s="12">
        <v>56</v>
      </c>
      <c r="O6" s="12" t="s">
        <v>20</v>
      </c>
      <c r="P6" s="12">
        <v>8.07</v>
      </c>
      <c r="Q6" s="12" t="s">
        <v>23</v>
      </c>
    </row>
    <row r="7" spans="1:17" x14ac:dyDescent="0.3">
      <c r="A7" s="12" t="s">
        <v>74</v>
      </c>
      <c r="B7" s="12" t="s">
        <v>75</v>
      </c>
      <c r="C7" s="12" t="s">
        <v>19</v>
      </c>
      <c r="D7" s="12">
        <v>39</v>
      </c>
      <c r="E7" s="12" t="s">
        <v>55</v>
      </c>
      <c r="F7" s="12" t="s">
        <v>16</v>
      </c>
      <c r="G7" s="12" t="s">
        <v>76</v>
      </c>
      <c r="H7" s="12" t="s">
        <v>77</v>
      </c>
      <c r="I7" s="12">
        <v>17</v>
      </c>
      <c r="J7" s="12">
        <v>51659</v>
      </c>
      <c r="K7" s="12">
        <v>88.87</v>
      </c>
      <c r="L7" s="12">
        <v>3</v>
      </c>
      <c r="M7" s="12">
        <v>17</v>
      </c>
      <c r="N7" s="12">
        <v>74</v>
      </c>
      <c r="O7" s="12" t="s">
        <v>21</v>
      </c>
      <c r="P7" s="12">
        <v>8.0299999999999994</v>
      </c>
      <c r="Q7" s="12" t="s">
        <v>23</v>
      </c>
    </row>
    <row r="8" spans="1:17" x14ac:dyDescent="0.3">
      <c r="A8" s="12" t="s">
        <v>78</v>
      </c>
      <c r="B8" s="12" t="s">
        <v>79</v>
      </c>
      <c r="C8" s="12" t="s">
        <v>18</v>
      </c>
      <c r="D8" s="12">
        <v>57</v>
      </c>
      <c r="E8" s="12" t="s">
        <v>80</v>
      </c>
      <c r="F8" s="12" t="s">
        <v>13</v>
      </c>
      <c r="G8" s="12" t="s">
        <v>66</v>
      </c>
      <c r="H8" s="12" t="s">
        <v>57</v>
      </c>
      <c r="I8" s="12">
        <v>30</v>
      </c>
      <c r="J8" s="12">
        <v>53108</v>
      </c>
      <c r="K8" s="12">
        <v>93.65</v>
      </c>
      <c r="L8" s="12">
        <v>1</v>
      </c>
      <c r="M8" s="12">
        <v>5</v>
      </c>
      <c r="N8" s="12">
        <v>42</v>
      </c>
      <c r="O8" s="12" t="s">
        <v>20</v>
      </c>
      <c r="P8" s="12">
        <v>6.68</v>
      </c>
      <c r="Q8" s="12" t="s">
        <v>23</v>
      </c>
    </row>
    <row r="9" spans="1:17" x14ac:dyDescent="0.3">
      <c r="A9" s="12" t="s">
        <v>81</v>
      </c>
      <c r="B9" s="12" t="s">
        <v>82</v>
      </c>
      <c r="C9" s="12" t="s">
        <v>19</v>
      </c>
      <c r="D9" s="12">
        <v>53</v>
      </c>
      <c r="E9" s="12" t="s">
        <v>69</v>
      </c>
      <c r="F9" s="12" t="s">
        <v>16</v>
      </c>
      <c r="G9" s="12" t="s">
        <v>76</v>
      </c>
      <c r="H9" s="12" t="s">
        <v>62</v>
      </c>
      <c r="I9" s="12">
        <v>23</v>
      </c>
      <c r="J9" s="12">
        <v>101992</v>
      </c>
      <c r="K9" s="12">
        <v>91.79</v>
      </c>
      <c r="L9" s="12">
        <v>19</v>
      </c>
      <c r="M9" s="12">
        <v>60</v>
      </c>
      <c r="N9" s="12">
        <v>56</v>
      </c>
      <c r="O9" s="12" t="s">
        <v>21</v>
      </c>
      <c r="P9" s="12">
        <v>9.23</v>
      </c>
      <c r="Q9" s="12" t="s">
        <v>24</v>
      </c>
    </row>
    <row r="10" spans="1:17" x14ac:dyDescent="0.3">
      <c r="A10" s="12" t="s">
        <v>83</v>
      </c>
      <c r="B10" s="12" t="s">
        <v>84</v>
      </c>
      <c r="C10" s="12" t="s">
        <v>18</v>
      </c>
      <c r="D10" s="12">
        <v>50</v>
      </c>
      <c r="E10" s="12" t="s">
        <v>69</v>
      </c>
      <c r="F10" s="12" t="s">
        <v>14</v>
      </c>
      <c r="G10" s="12" t="s">
        <v>85</v>
      </c>
      <c r="H10" s="12" t="s">
        <v>86</v>
      </c>
      <c r="I10" s="12">
        <v>3</v>
      </c>
      <c r="J10" s="12">
        <v>114334</v>
      </c>
      <c r="K10" s="12">
        <v>86.29</v>
      </c>
      <c r="L10" s="12">
        <v>6</v>
      </c>
      <c r="M10" s="12">
        <v>60</v>
      </c>
      <c r="N10" s="12">
        <v>98</v>
      </c>
      <c r="O10" s="12" t="s">
        <v>20</v>
      </c>
      <c r="P10" s="12">
        <v>7.55</v>
      </c>
      <c r="Q10" s="12" t="s">
        <v>23</v>
      </c>
    </row>
    <row r="11" spans="1:17" x14ac:dyDescent="0.3">
      <c r="A11" s="12" t="s">
        <v>87</v>
      </c>
      <c r="B11" s="12" t="s">
        <v>88</v>
      </c>
      <c r="C11" s="12" t="s">
        <v>18</v>
      </c>
      <c r="D11" s="12">
        <v>52</v>
      </c>
      <c r="E11" s="12" t="s">
        <v>60</v>
      </c>
      <c r="F11" s="12" t="s">
        <v>13</v>
      </c>
      <c r="G11" s="12" t="s">
        <v>56</v>
      </c>
      <c r="H11" s="12" t="s">
        <v>77</v>
      </c>
      <c r="I11" s="12">
        <v>4</v>
      </c>
      <c r="J11" s="12">
        <v>48324</v>
      </c>
      <c r="K11" s="12">
        <v>88.02</v>
      </c>
      <c r="L11" s="12">
        <v>5</v>
      </c>
      <c r="M11" s="12">
        <v>38</v>
      </c>
      <c r="N11" s="12">
        <v>83</v>
      </c>
      <c r="O11" s="12" t="s">
        <v>20</v>
      </c>
      <c r="P11" s="12">
        <v>6.18</v>
      </c>
      <c r="Q11" s="12" t="s">
        <v>23</v>
      </c>
    </row>
    <row r="12" spans="1:17" x14ac:dyDescent="0.3">
      <c r="A12" s="12" t="s">
        <v>89</v>
      </c>
      <c r="B12" s="12" t="s">
        <v>90</v>
      </c>
      <c r="C12" s="12" t="s">
        <v>18</v>
      </c>
      <c r="D12" s="12">
        <v>48</v>
      </c>
      <c r="E12" s="12" t="s">
        <v>91</v>
      </c>
      <c r="F12" s="12" t="s">
        <v>12</v>
      </c>
      <c r="G12" s="12" t="s">
        <v>92</v>
      </c>
      <c r="H12" s="12" t="s">
        <v>62</v>
      </c>
      <c r="I12" s="12">
        <v>24</v>
      </c>
      <c r="J12" s="12">
        <v>139590</v>
      </c>
      <c r="K12" s="12">
        <v>98.64</v>
      </c>
      <c r="L12" s="12">
        <v>14</v>
      </c>
      <c r="M12" s="12">
        <v>56</v>
      </c>
      <c r="N12" s="12">
        <v>9</v>
      </c>
      <c r="O12" s="12" t="s">
        <v>22</v>
      </c>
      <c r="P12" s="12">
        <v>7.41</v>
      </c>
      <c r="Q12" s="12" t="s">
        <v>23</v>
      </c>
    </row>
    <row r="13" spans="1:17" x14ac:dyDescent="0.3">
      <c r="A13" s="12" t="s">
        <v>93</v>
      </c>
      <c r="B13" s="12" t="s">
        <v>94</v>
      </c>
      <c r="C13" s="12" t="s">
        <v>19</v>
      </c>
      <c r="D13" s="12">
        <v>37</v>
      </c>
      <c r="E13" s="12" t="s">
        <v>55</v>
      </c>
      <c r="F13" s="12" t="s">
        <v>16</v>
      </c>
      <c r="G13" s="12" t="s">
        <v>76</v>
      </c>
      <c r="H13" s="12" t="s">
        <v>57</v>
      </c>
      <c r="I13" s="12">
        <v>15</v>
      </c>
      <c r="J13" s="12">
        <v>61518</v>
      </c>
      <c r="K13" s="12">
        <v>82.88</v>
      </c>
      <c r="L13" s="12">
        <v>4</v>
      </c>
      <c r="M13" s="12">
        <v>14</v>
      </c>
      <c r="N13" s="12">
        <v>14</v>
      </c>
      <c r="O13" s="12" t="s">
        <v>20</v>
      </c>
      <c r="P13" s="12">
        <v>5.31</v>
      </c>
      <c r="Q13" s="12" t="s">
        <v>23</v>
      </c>
    </row>
    <row r="14" spans="1:17" x14ac:dyDescent="0.3">
      <c r="A14" s="12" t="s">
        <v>95</v>
      </c>
      <c r="B14" s="12" t="s">
        <v>96</v>
      </c>
      <c r="C14" s="12" t="s">
        <v>19</v>
      </c>
      <c r="D14" s="12">
        <v>32</v>
      </c>
      <c r="E14" s="12" t="s">
        <v>60</v>
      </c>
      <c r="F14" s="12" t="s">
        <v>12</v>
      </c>
      <c r="G14" s="12" t="s">
        <v>92</v>
      </c>
      <c r="H14" s="12" t="s">
        <v>86</v>
      </c>
      <c r="I14" s="12">
        <v>8</v>
      </c>
      <c r="J14" s="12">
        <v>139376</v>
      </c>
      <c r="K14" s="12">
        <v>94.92</v>
      </c>
      <c r="L14" s="12">
        <v>13</v>
      </c>
      <c r="M14" s="12">
        <v>16</v>
      </c>
      <c r="N14" s="12">
        <v>71</v>
      </c>
      <c r="O14" s="12" t="s">
        <v>20</v>
      </c>
      <c r="P14" s="12">
        <v>8.1300000000000008</v>
      </c>
      <c r="Q14" s="12" t="s">
        <v>23</v>
      </c>
    </row>
    <row r="15" spans="1:17" x14ac:dyDescent="0.3">
      <c r="A15" s="12" t="s">
        <v>97</v>
      </c>
      <c r="B15" s="12" t="s">
        <v>98</v>
      </c>
      <c r="C15" s="12" t="s">
        <v>19</v>
      </c>
      <c r="D15" s="12">
        <v>42</v>
      </c>
      <c r="E15" s="12" t="s">
        <v>80</v>
      </c>
      <c r="F15" s="12" t="s">
        <v>17</v>
      </c>
      <c r="G15" s="12" t="s">
        <v>99</v>
      </c>
      <c r="H15" s="12" t="s">
        <v>77</v>
      </c>
      <c r="I15" s="12">
        <v>16</v>
      </c>
      <c r="J15" s="12">
        <v>98718</v>
      </c>
      <c r="K15" s="12">
        <v>97.4</v>
      </c>
      <c r="L15" s="12">
        <v>7</v>
      </c>
      <c r="M15" s="12">
        <v>30</v>
      </c>
      <c r="N15" s="12">
        <v>53</v>
      </c>
      <c r="O15" s="12" t="s">
        <v>21</v>
      </c>
      <c r="P15" s="12">
        <v>8.42</v>
      </c>
      <c r="Q15" s="12" t="s">
        <v>23</v>
      </c>
    </row>
    <row r="16" spans="1:17" x14ac:dyDescent="0.3">
      <c r="A16" s="12" t="s">
        <v>100</v>
      </c>
      <c r="B16" s="12" t="s">
        <v>101</v>
      </c>
      <c r="C16" s="12" t="s">
        <v>19</v>
      </c>
      <c r="D16" s="12">
        <v>28</v>
      </c>
      <c r="E16" s="12" t="s">
        <v>65</v>
      </c>
      <c r="F16" s="12" t="s">
        <v>17</v>
      </c>
      <c r="G16" s="12" t="s">
        <v>102</v>
      </c>
      <c r="H16" s="12" t="s">
        <v>57</v>
      </c>
      <c r="I16" s="12">
        <v>0</v>
      </c>
      <c r="J16" s="12">
        <v>98828</v>
      </c>
      <c r="K16" s="12">
        <v>79.41</v>
      </c>
      <c r="L16" s="12">
        <v>3</v>
      </c>
      <c r="M16" s="12">
        <v>43</v>
      </c>
      <c r="N16" s="12">
        <v>58</v>
      </c>
      <c r="O16" s="12" t="s">
        <v>20</v>
      </c>
      <c r="P16" s="12">
        <v>4.51</v>
      </c>
      <c r="Q16" s="12" t="s">
        <v>23</v>
      </c>
    </row>
    <row r="17" spans="1:17" x14ac:dyDescent="0.3">
      <c r="A17" s="12" t="s">
        <v>103</v>
      </c>
      <c r="B17" s="12" t="s">
        <v>104</v>
      </c>
      <c r="C17" s="12" t="s">
        <v>18</v>
      </c>
      <c r="D17" s="12">
        <v>36</v>
      </c>
      <c r="E17" s="12" t="s">
        <v>91</v>
      </c>
      <c r="F17" s="12" t="s">
        <v>16</v>
      </c>
      <c r="G17" s="12" t="s">
        <v>76</v>
      </c>
      <c r="H17" s="12" t="s">
        <v>86</v>
      </c>
      <c r="I17" s="12">
        <v>9</v>
      </c>
      <c r="J17" s="12">
        <v>48602</v>
      </c>
      <c r="K17" s="12">
        <v>82.91</v>
      </c>
      <c r="L17" s="12">
        <v>1</v>
      </c>
      <c r="M17" s="12">
        <v>58</v>
      </c>
      <c r="N17" s="12">
        <v>48</v>
      </c>
      <c r="O17" s="12" t="s">
        <v>22</v>
      </c>
      <c r="P17" s="12">
        <v>5.38</v>
      </c>
      <c r="Q17" s="12" t="s">
        <v>23</v>
      </c>
    </row>
    <row r="18" spans="1:17" x14ac:dyDescent="0.3">
      <c r="A18" s="12" t="s">
        <v>105</v>
      </c>
      <c r="B18" s="12" t="s">
        <v>106</v>
      </c>
      <c r="C18" s="12" t="s">
        <v>18</v>
      </c>
      <c r="D18" s="12">
        <v>50</v>
      </c>
      <c r="E18" s="12" t="s">
        <v>91</v>
      </c>
      <c r="F18" s="12" t="s">
        <v>13</v>
      </c>
      <c r="G18" s="12" t="s">
        <v>107</v>
      </c>
      <c r="H18" s="12" t="s">
        <v>62</v>
      </c>
      <c r="I18" s="12">
        <v>28</v>
      </c>
      <c r="J18" s="12">
        <v>74695</v>
      </c>
      <c r="K18" s="12">
        <v>75.900000000000006</v>
      </c>
      <c r="L18" s="12">
        <v>12</v>
      </c>
      <c r="M18" s="12">
        <v>9</v>
      </c>
      <c r="N18" s="12">
        <v>34</v>
      </c>
      <c r="O18" s="12" t="s">
        <v>22</v>
      </c>
      <c r="P18" s="12">
        <v>8.1300000000000008</v>
      </c>
      <c r="Q18" s="12" t="s">
        <v>23</v>
      </c>
    </row>
    <row r="19" spans="1:17" x14ac:dyDescent="0.3">
      <c r="A19" s="12" t="s">
        <v>108</v>
      </c>
      <c r="B19" s="12" t="s">
        <v>109</v>
      </c>
      <c r="C19" s="12" t="s">
        <v>18</v>
      </c>
      <c r="D19" s="12">
        <v>25</v>
      </c>
      <c r="E19" s="12" t="s">
        <v>69</v>
      </c>
      <c r="F19" s="12" t="s">
        <v>14</v>
      </c>
      <c r="G19" s="12" t="s">
        <v>110</v>
      </c>
      <c r="H19" s="12" t="s">
        <v>62</v>
      </c>
      <c r="I19" s="12">
        <v>3</v>
      </c>
      <c r="J19" s="12">
        <v>150745</v>
      </c>
      <c r="K19" s="12">
        <v>99.22</v>
      </c>
      <c r="L19" s="12">
        <v>9</v>
      </c>
      <c r="M19" s="12">
        <v>13</v>
      </c>
      <c r="N19" s="12">
        <v>43</v>
      </c>
      <c r="O19" s="12" t="s">
        <v>22</v>
      </c>
      <c r="P19" s="12">
        <v>8.07</v>
      </c>
      <c r="Q19" s="12" t="s">
        <v>23</v>
      </c>
    </row>
    <row r="20" spans="1:17" x14ac:dyDescent="0.3">
      <c r="A20" s="12" t="s">
        <v>111</v>
      </c>
      <c r="B20" s="12" t="s">
        <v>112</v>
      </c>
      <c r="C20" s="12" t="s">
        <v>18</v>
      </c>
      <c r="D20" s="12">
        <v>32</v>
      </c>
      <c r="E20" s="12" t="s">
        <v>60</v>
      </c>
      <c r="F20" s="12" t="s">
        <v>15</v>
      </c>
      <c r="G20" s="12" t="s">
        <v>61</v>
      </c>
      <c r="H20" s="12" t="s">
        <v>62</v>
      </c>
      <c r="I20" s="12">
        <v>11</v>
      </c>
      <c r="J20" s="12">
        <v>109547</v>
      </c>
      <c r="K20" s="12">
        <v>75.75</v>
      </c>
      <c r="L20" s="12">
        <v>4</v>
      </c>
      <c r="M20" s="12">
        <v>45</v>
      </c>
      <c r="N20" s="12">
        <v>109</v>
      </c>
      <c r="O20" s="12" t="s">
        <v>22</v>
      </c>
      <c r="P20" s="12">
        <v>7.54</v>
      </c>
      <c r="Q20" s="12" t="s">
        <v>23</v>
      </c>
    </row>
    <row r="21" spans="1:17" x14ac:dyDescent="0.3">
      <c r="A21" s="12" t="s">
        <v>113</v>
      </c>
      <c r="B21" s="12" t="s">
        <v>114</v>
      </c>
      <c r="C21" s="12" t="s">
        <v>19</v>
      </c>
      <c r="D21" s="12">
        <v>54</v>
      </c>
      <c r="E21" s="12" t="s">
        <v>91</v>
      </c>
      <c r="F21" s="12" t="s">
        <v>15</v>
      </c>
      <c r="G21" s="12" t="s">
        <v>73</v>
      </c>
      <c r="H21" s="12" t="s">
        <v>57</v>
      </c>
      <c r="I21" s="12">
        <v>27</v>
      </c>
      <c r="J21" s="12">
        <v>35455</v>
      </c>
      <c r="K21" s="12">
        <v>71.08</v>
      </c>
      <c r="L21" s="12">
        <v>6</v>
      </c>
      <c r="M21" s="12">
        <v>36</v>
      </c>
      <c r="N21" s="12">
        <v>93</v>
      </c>
      <c r="O21" s="12" t="s">
        <v>20</v>
      </c>
      <c r="P21" s="12">
        <v>7.34</v>
      </c>
      <c r="Q21" s="12" t="s">
        <v>23</v>
      </c>
    </row>
    <row r="22" spans="1:17" x14ac:dyDescent="0.3">
      <c r="A22" s="12" t="s">
        <v>115</v>
      </c>
      <c r="B22" s="12" t="s">
        <v>116</v>
      </c>
      <c r="C22" s="12" t="s">
        <v>19</v>
      </c>
      <c r="D22" s="12">
        <v>42</v>
      </c>
      <c r="E22" s="12" t="s">
        <v>69</v>
      </c>
      <c r="F22" s="12" t="s">
        <v>13</v>
      </c>
      <c r="G22" s="12" t="s">
        <v>107</v>
      </c>
      <c r="H22" s="12" t="s">
        <v>86</v>
      </c>
      <c r="I22" s="12">
        <v>19</v>
      </c>
      <c r="J22" s="12">
        <v>49004</v>
      </c>
      <c r="K22" s="12">
        <v>87.46</v>
      </c>
      <c r="L22" s="12">
        <v>19</v>
      </c>
      <c r="M22" s="12">
        <v>5</v>
      </c>
      <c r="N22" s="12">
        <v>81</v>
      </c>
      <c r="O22" s="12" t="s">
        <v>21</v>
      </c>
      <c r="P22" s="12">
        <v>9.36</v>
      </c>
      <c r="Q22" s="12" t="s">
        <v>24</v>
      </c>
    </row>
    <row r="23" spans="1:17" x14ac:dyDescent="0.3">
      <c r="A23" s="12" t="s">
        <v>117</v>
      </c>
      <c r="B23" s="12" t="s">
        <v>118</v>
      </c>
      <c r="C23" s="12" t="s">
        <v>18</v>
      </c>
      <c r="D23" s="12">
        <v>52</v>
      </c>
      <c r="E23" s="12" t="s">
        <v>80</v>
      </c>
      <c r="F23" s="12" t="s">
        <v>12</v>
      </c>
      <c r="G23" s="12" t="s">
        <v>119</v>
      </c>
      <c r="H23" s="12" t="s">
        <v>77</v>
      </c>
      <c r="I23" s="12">
        <v>0</v>
      </c>
      <c r="J23" s="12">
        <v>122941</v>
      </c>
      <c r="K23" s="12">
        <v>95.04</v>
      </c>
      <c r="L23" s="12">
        <v>2</v>
      </c>
      <c r="M23" s="12">
        <v>25</v>
      </c>
      <c r="N23" s="12">
        <v>30</v>
      </c>
      <c r="O23" s="12" t="s">
        <v>20</v>
      </c>
      <c r="P23" s="12">
        <v>6.12</v>
      </c>
      <c r="Q23" s="12" t="s">
        <v>23</v>
      </c>
    </row>
    <row r="24" spans="1:17" x14ac:dyDescent="0.3">
      <c r="A24" s="12" t="s">
        <v>120</v>
      </c>
      <c r="B24" s="12" t="s">
        <v>121</v>
      </c>
      <c r="C24" s="12" t="s">
        <v>19</v>
      </c>
      <c r="D24" s="12">
        <v>44</v>
      </c>
      <c r="E24" s="12" t="s">
        <v>69</v>
      </c>
      <c r="F24" s="12" t="s">
        <v>14</v>
      </c>
      <c r="G24" s="12" t="s">
        <v>85</v>
      </c>
      <c r="H24" s="12" t="s">
        <v>62</v>
      </c>
      <c r="I24" s="12">
        <v>20</v>
      </c>
      <c r="J24" s="12">
        <v>94462</v>
      </c>
      <c r="K24" s="12">
        <v>98.45</v>
      </c>
      <c r="L24" s="12">
        <v>11</v>
      </c>
      <c r="M24" s="12">
        <v>9</v>
      </c>
      <c r="N24" s="12">
        <v>72</v>
      </c>
      <c r="O24" s="12" t="s">
        <v>21</v>
      </c>
      <c r="P24" s="12">
        <v>9.5299999999999994</v>
      </c>
      <c r="Q24" s="12" t="s">
        <v>24</v>
      </c>
    </row>
    <row r="25" spans="1:17" x14ac:dyDescent="0.3">
      <c r="A25" s="12" t="s">
        <v>122</v>
      </c>
      <c r="B25" s="12" t="s">
        <v>123</v>
      </c>
      <c r="C25" s="12" t="s">
        <v>18</v>
      </c>
      <c r="D25" s="12">
        <v>48</v>
      </c>
      <c r="E25" s="12" t="s">
        <v>60</v>
      </c>
      <c r="F25" s="12" t="s">
        <v>17</v>
      </c>
      <c r="G25" s="12" t="s">
        <v>102</v>
      </c>
      <c r="H25" s="12" t="s">
        <v>86</v>
      </c>
      <c r="I25" s="12">
        <v>2</v>
      </c>
      <c r="J25" s="12">
        <v>96229</v>
      </c>
      <c r="K25" s="12">
        <v>91.01</v>
      </c>
      <c r="L25" s="12">
        <v>17</v>
      </c>
      <c r="M25" s="12">
        <v>59</v>
      </c>
      <c r="N25" s="12">
        <v>20</v>
      </c>
      <c r="O25" s="12" t="s">
        <v>21</v>
      </c>
      <c r="P25" s="12">
        <v>7.22</v>
      </c>
      <c r="Q25" s="12" t="s">
        <v>23</v>
      </c>
    </row>
    <row r="26" spans="1:17" x14ac:dyDescent="0.3">
      <c r="A26" s="12" t="s">
        <v>124</v>
      </c>
      <c r="B26" s="12" t="s">
        <v>125</v>
      </c>
      <c r="C26" s="12" t="s">
        <v>18</v>
      </c>
      <c r="D26" s="12">
        <v>43</v>
      </c>
      <c r="E26" s="12" t="s">
        <v>60</v>
      </c>
      <c r="F26" s="12" t="s">
        <v>17</v>
      </c>
      <c r="G26" s="12" t="s">
        <v>102</v>
      </c>
      <c r="H26" s="12" t="s">
        <v>62</v>
      </c>
      <c r="I26" s="12">
        <v>19</v>
      </c>
      <c r="J26" s="12">
        <v>60734</v>
      </c>
      <c r="K26" s="12">
        <v>99.4</v>
      </c>
      <c r="L26" s="12">
        <v>5</v>
      </c>
      <c r="M26" s="12">
        <v>53</v>
      </c>
      <c r="N26" s="12">
        <v>20</v>
      </c>
      <c r="O26" s="12" t="s">
        <v>22</v>
      </c>
      <c r="P26" s="12">
        <v>6.05</v>
      </c>
      <c r="Q26" s="12" t="s">
        <v>23</v>
      </c>
    </row>
    <row r="27" spans="1:17" x14ac:dyDescent="0.3">
      <c r="A27" s="12" t="s">
        <v>126</v>
      </c>
      <c r="B27" s="12" t="s">
        <v>127</v>
      </c>
      <c r="C27" s="12" t="s">
        <v>18</v>
      </c>
      <c r="D27" s="12">
        <v>31</v>
      </c>
      <c r="E27" s="12" t="s">
        <v>80</v>
      </c>
      <c r="F27" s="12" t="s">
        <v>13</v>
      </c>
      <c r="G27" s="12" t="s">
        <v>107</v>
      </c>
      <c r="H27" s="12" t="s">
        <v>77</v>
      </c>
      <c r="I27" s="12">
        <v>6</v>
      </c>
      <c r="J27" s="12">
        <v>52905</v>
      </c>
      <c r="K27" s="12">
        <v>97.59</v>
      </c>
      <c r="L27" s="12">
        <v>9</v>
      </c>
      <c r="M27" s="12">
        <v>58</v>
      </c>
      <c r="N27" s="12">
        <v>26</v>
      </c>
      <c r="O27" s="12" t="s">
        <v>22</v>
      </c>
      <c r="P27" s="12">
        <v>5.61</v>
      </c>
      <c r="Q27" s="12" t="s">
        <v>23</v>
      </c>
    </row>
    <row r="28" spans="1:17" x14ac:dyDescent="0.3">
      <c r="A28" s="12" t="s">
        <v>128</v>
      </c>
      <c r="B28" s="12" t="s">
        <v>129</v>
      </c>
      <c r="C28" s="12" t="s">
        <v>18</v>
      </c>
      <c r="D28" s="12">
        <v>31</v>
      </c>
      <c r="E28" s="12" t="s">
        <v>65</v>
      </c>
      <c r="F28" s="12" t="s">
        <v>15</v>
      </c>
      <c r="G28" s="12" t="s">
        <v>130</v>
      </c>
      <c r="H28" s="12" t="s">
        <v>62</v>
      </c>
      <c r="I28" s="12">
        <v>10</v>
      </c>
      <c r="J28" s="12">
        <v>66347</v>
      </c>
      <c r="K28" s="12">
        <v>94.07</v>
      </c>
      <c r="L28" s="12">
        <v>2</v>
      </c>
      <c r="M28" s="12">
        <v>54</v>
      </c>
      <c r="N28" s="12">
        <v>30</v>
      </c>
      <c r="O28" s="12" t="s">
        <v>20</v>
      </c>
      <c r="P28" s="12">
        <v>6.26</v>
      </c>
      <c r="Q28" s="12" t="s">
        <v>23</v>
      </c>
    </row>
    <row r="29" spans="1:17" x14ac:dyDescent="0.3">
      <c r="A29" s="12" t="s">
        <v>131</v>
      </c>
      <c r="B29" s="12" t="s">
        <v>132</v>
      </c>
      <c r="C29" s="12" t="s">
        <v>19</v>
      </c>
      <c r="D29" s="12">
        <v>45</v>
      </c>
      <c r="E29" s="12" t="s">
        <v>80</v>
      </c>
      <c r="F29" s="12" t="s">
        <v>12</v>
      </c>
      <c r="G29" s="12" t="s">
        <v>119</v>
      </c>
      <c r="H29" s="12" t="s">
        <v>77</v>
      </c>
      <c r="I29" s="12">
        <v>2</v>
      </c>
      <c r="J29" s="12">
        <v>146249</v>
      </c>
      <c r="K29" s="12">
        <v>80.239999999999995</v>
      </c>
      <c r="L29" s="12">
        <v>5</v>
      </c>
      <c r="M29" s="12">
        <v>41</v>
      </c>
      <c r="N29" s="12">
        <v>97</v>
      </c>
      <c r="O29" s="12" t="s">
        <v>22</v>
      </c>
      <c r="P29" s="12">
        <v>7.44</v>
      </c>
      <c r="Q29" s="12" t="s">
        <v>23</v>
      </c>
    </row>
    <row r="30" spans="1:17" x14ac:dyDescent="0.3">
      <c r="A30" s="12" t="s">
        <v>133</v>
      </c>
      <c r="B30" s="12" t="s">
        <v>134</v>
      </c>
      <c r="C30" s="12" t="s">
        <v>18</v>
      </c>
      <c r="D30" s="12">
        <v>44</v>
      </c>
      <c r="E30" s="12" t="s">
        <v>60</v>
      </c>
      <c r="F30" s="12" t="s">
        <v>17</v>
      </c>
      <c r="G30" s="12" t="s">
        <v>135</v>
      </c>
      <c r="H30" s="12" t="s">
        <v>62</v>
      </c>
      <c r="I30" s="12">
        <v>8</v>
      </c>
      <c r="J30" s="12">
        <v>71474</v>
      </c>
      <c r="K30" s="12">
        <v>70.03</v>
      </c>
      <c r="L30" s="12">
        <v>6</v>
      </c>
      <c r="M30" s="12">
        <v>56</v>
      </c>
      <c r="N30" s="12">
        <v>106</v>
      </c>
      <c r="O30" s="12" t="s">
        <v>22</v>
      </c>
      <c r="P30" s="12">
        <v>6.55</v>
      </c>
      <c r="Q30" s="12" t="s">
        <v>23</v>
      </c>
    </row>
    <row r="31" spans="1:17" x14ac:dyDescent="0.3">
      <c r="A31" s="12" t="s">
        <v>136</v>
      </c>
      <c r="B31" s="12" t="s">
        <v>137</v>
      </c>
      <c r="C31" s="12" t="s">
        <v>18</v>
      </c>
      <c r="D31" s="12">
        <v>39</v>
      </c>
      <c r="E31" s="12" t="s">
        <v>91</v>
      </c>
      <c r="F31" s="12" t="s">
        <v>17</v>
      </c>
      <c r="G31" s="12" t="s">
        <v>135</v>
      </c>
      <c r="H31" s="12" t="s">
        <v>77</v>
      </c>
      <c r="I31" s="12">
        <v>11</v>
      </c>
      <c r="J31" s="12">
        <v>92263</v>
      </c>
      <c r="K31" s="12">
        <v>66.95</v>
      </c>
      <c r="L31" s="12">
        <v>2</v>
      </c>
      <c r="M31" s="12">
        <v>15</v>
      </c>
      <c r="N31" s="12">
        <v>13</v>
      </c>
      <c r="O31" s="12" t="s">
        <v>22</v>
      </c>
      <c r="P31" s="12">
        <v>3.78</v>
      </c>
      <c r="Q31" s="12" t="s">
        <v>23</v>
      </c>
    </row>
    <row r="32" spans="1:17" x14ac:dyDescent="0.3">
      <c r="A32" s="12" t="s">
        <v>138</v>
      </c>
      <c r="B32" s="12" t="s">
        <v>139</v>
      </c>
      <c r="C32" s="12" t="s">
        <v>18</v>
      </c>
      <c r="D32" s="12">
        <v>27</v>
      </c>
      <c r="E32" s="12" t="s">
        <v>55</v>
      </c>
      <c r="F32" s="12" t="s">
        <v>12</v>
      </c>
      <c r="G32" s="12" t="s">
        <v>92</v>
      </c>
      <c r="H32" s="12" t="s">
        <v>77</v>
      </c>
      <c r="I32" s="12">
        <v>5</v>
      </c>
      <c r="J32" s="12">
        <v>94636</v>
      </c>
      <c r="K32" s="12">
        <v>79.900000000000006</v>
      </c>
      <c r="L32" s="12">
        <v>4</v>
      </c>
      <c r="M32" s="12">
        <v>37</v>
      </c>
      <c r="N32" s="12">
        <v>71</v>
      </c>
      <c r="O32" s="12" t="s">
        <v>21</v>
      </c>
      <c r="P32" s="12">
        <v>6.57</v>
      </c>
      <c r="Q32" s="12" t="s">
        <v>23</v>
      </c>
    </row>
    <row r="33" spans="1:17" x14ac:dyDescent="0.3">
      <c r="A33" s="12" t="s">
        <v>140</v>
      </c>
      <c r="B33" s="12" t="s">
        <v>141</v>
      </c>
      <c r="C33" s="12" t="s">
        <v>19</v>
      </c>
      <c r="D33" s="12">
        <v>49</v>
      </c>
      <c r="E33" s="12" t="s">
        <v>91</v>
      </c>
      <c r="F33" s="12" t="s">
        <v>17</v>
      </c>
      <c r="G33" s="12" t="s">
        <v>102</v>
      </c>
      <c r="H33" s="12" t="s">
        <v>57</v>
      </c>
      <c r="I33" s="12">
        <v>22</v>
      </c>
      <c r="J33" s="12">
        <v>87645</v>
      </c>
      <c r="K33" s="12">
        <v>70.180000000000007</v>
      </c>
      <c r="L33" s="12">
        <v>15</v>
      </c>
      <c r="M33" s="12">
        <v>20</v>
      </c>
      <c r="N33" s="12">
        <v>88</v>
      </c>
      <c r="O33" s="12" t="s">
        <v>20</v>
      </c>
      <c r="P33" s="12">
        <v>9.65</v>
      </c>
      <c r="Q33" s="12" t="s">
        <v>24</v>
      </c>
    </row>
    <row r="34" spans="1:17" x14ac:dyDescent="0.3">
      <c r="A34" s="12" t="s">
        <v>142</v>
      </c>
      <c r="B34" s="12" t="s">
        <v>143</v>
      </c>
      <c r="C34" s="12" t="s">
        <v>19</v>
      </c>
      <c r="D34" s="12">
        <v>45</v>
      </c>
      <c r="E34" s="12" t="s">
        <v>69</v>
      </c>
      <c r="F34" s="12" t="s">
        <v>13</v>
      </c>
      <c r="G34" s="12" t="s">
        <v>107</v>
      </c>
      <c r="H34" s="12" t="s">
        <v>77</v>
      </c>
      <c r="I34" s="12">
        <v>16</v>
      </c>
      <c r="J34" s="12">
        <v>44566</v>
      </c>
      <c r="K34" s="12">
        <v>69.56</v>
      </c>
      <c r="L34" s="12">
        <v>14</v>
      </c>
      <c r="M34" s="12">
        <v>18</v>
      </c>
      <c r="N34" s="12">
        <v>58</v>
      </c>
      <c r="O34" s="12" t="s">
        <v>22</v>
      </c>
      <c r="P34" s="12">
        <v>7.25</v>
      </c>
      <c r="Q34" s="12" t="s">
        <v>23</v>
      </c>
    </row>
    <row r="35" spans="1:17" x14ac:dyDescent="0.3">
      <c r="A35" s="12" t="s">
        <v>144</v>
      </c>
      <c r="B35" s="12" t="s">
        <v>145</v>
      </c>
      <c r="C35" s="12" t="s">
        <v>19</v>
      </c>
      <c r="D35" s="12">
        <v>49</v>
      </c>
      <c r="E35" s="12" t="s">
        <v>80</v>
      </c>
      <c r="F35" s="12" t="s">
        <v>15</v>
      </c>
      <c r="G35" s="12" t="s">
        <v>73</v>
      </c>
      <c r="H35" s="12" t="s">
        <v>62</v>
      </c>
      <c r="I35" s="12">
        <v>27</v>
      </c>
      <c r="J35" s="12">
        <v>49284</v>
      </c>
      <c r="K35" s="12">
        <v>80.62</v>
      </c>
      <c r="L35" s="12">
        <v>13</v>
      </c>
      <c r="M35" s="12">
        <v>50</v>
      </c>
      <c r="N35" s="12">
        <v>93</v>
      </c>
      <c r="O35" s="12" t="s">
        <v>21</v>
      </c>
      <c r="P35" s="12">
        <v>8.6199999999999992</v>
      </c>
      <c r="Q35" s="12" t="s">
        <v>24</v>
      </c>
    </row>
    <row r="36" spans="1:17" x14ac:dyDescent="0.3">
      <c r="A36" s="12" t="s">
        <v>146</v>
      </c>
      <c r="B36" s="12" t="s">
        <v>147</v>
      </c>
      <c r="C36" s="12" t="s">
        <v>19</v>
      </c>
      <c r="D36" s="12">
        <v>48</v>
      </c>
      <c r="E36" s="12" t="s">
        <v>65</v>
      </c>
      <c r="F36" s="12" t="s">
        <v>17</v>
      </c>
      <c r="G36" s="12" t="s">
        <v>99</v>
      </c>
      <c r="H36" s="12" t="s">
        <v>86</v>
      </c>
      <c r="I36" s="12">
        <v>10</v>
      </c>
      <c r="J36" s="12">
        <v>62500</v>
      </c>
      <c r="K36" s="12">
        <v>71.47</v>
      </c>
      <c r="L36" s="12">
        <v>3</v>
      </c>
      <c r="M36" s="12">
        <v>36</v>
      </c>
      <c r="N36" s="12">
        <v>60</v>
      </c>
      <c r="O36" s="12" t="s">
        <v>20</v>
      </c>
      <c r="P36" s="12">
        <v>6.47</v>
      </c>
      <c r="Q36" s="12" t="s">
        <v>23</v>
      </c>
    </row>
    <row r="37" spans="1:17" x14ac:dyDescent="0.3">
      <c r="A37" s="12" t="s">
        <v>148</v>
      </c>
      <c r="B37" s="12" t="s">
        <v>149</v>
      </c>
      <c r="C37" s="12" t="s">
        <v>18</v>
      </c>
      <c r="D37" s="12">
        <v>24</v>
      </c>
      <c r="E37" s="12" t="s">
        <v>69</v>
      </c>
      <c r="F37" s="12" t="s">
        <v>15</v>
      </c>
      <c r="G37" s="12" t="s">
        <v>61</v>
      </c>
      <c r="H37" s="12" t="s">
        <v>62</v>
      </c>
      <c r="I37" s="12">
        <v>3</v>
      </c>
      <c r="J37" s="12">
        <v>94005</v>
      </c>
      <c r="K37" s="12">
        <v>67.11</v>
      </c>
      <c r="L37" s="12">
        <v>3</v>
      </c>
      <c r="M37" s="12">
        <v>2</v>
      </c>
      <c r="N37" s="12">
        <v>53</v>
      </c>
      <c r="O37" s="12" t="s">
        <v>21</v>
      </c>
      <c r="P37" s="12">
        <v>5.37</v>
      </c>
      <c r="Q37" s="12" t="s">
        <v>23</v>
      </c>
    </row>
    <row r="38" spans="1:17" x14ac:dyDescent="0.3">
      <c r="A38" s="12" t="s">
        <v>150</v>
      </c>
      <c r="B38" s="12" t="s">
        <v>151</v>
      </c>
      <c r="C38" s="12" t="s">
        <v>18</v>
      </c>
      <c r="D38" s="12">
        <v>46</v>
      </c>
      <c r="E38" s="12" t="s">
        <v>60</v>
      </c>
      <c r="F38" s="12" t="s">
        <v>12</v>
      </c>
      <c r="G38" s="12" t="s">
        <v>152</v>
      </c>
      <c r="H38" s="12" t="s">
        <v>86</v>
      </c>
      <c r="I38" s="12">
        <v>22</v>
      </c>
      <c r="J38" s="12">
        <v>68925</v>
      </c>
      <c r="K38" s="12">
        <v>81.290000000000006</v>
      </c>
      <c r="L38" s="12">
        <v>16</v>
      </c>
      <c r="M38" s="12">
        <v>0</v>
      </c>
      <c r="N38" s="12">
        <v>117</v>
      </c>
      <c r="O38" s="12" t="s">
        <v>22</v>
      </c>
      <c r="P38" s="12">
        <v>9.2100000000000009</v>
      </c>
      <c r="Q38" s="12" t="s">
        <v>24</v>
      </c>
    </row>
    <row r="39" spans="1:17" x14ac:dyDescent="0.3">
      <c r="A39" s="12" t="s">
        <v>153</v>
      </c>
      <c r="B39" s="12" t="s">
        <v>154</v>
      </c>
      <c r="C39" s="12" t="s">
        <v>18</v>
      </c>
      <c r="D39" s="12">
        <v>41</v>
      </c>
      <c r="E39" s="12" t="s">
        <v>91</v>
      </c>
      <c r="F39" s="12" t="s">
        <v>14</v>
      </c>
      <c r="G39" s="12" t="s">
        <v>110</v>
      </c>
      <c r="H39" s="12" t="s">
        <v>62</v>
      </c>
      <c r="I39" s="12">
        <v>9</v>
      </c>
      <c r="J39" s="12">
        <v>86216</v>
      </c>
      <c r="K39" s="12">
        <v>83.7</v>
      </c>
      <c r="L39" s="12">
        <v>1</v>
      </c>
      <c r="M39" s="12">
        <v>35</v>
      </c>
      <c r="N39" s="12">
        <v>78</v>
      </c>
      <c r="O39" s="12" t="s">
        <v>20</v>
      </c>
      <c r="P39" s="12">
        <v>6.79</v>
      </c>
      <c r="Q39" s="12" t="s">
        <v>23</v>
      </c>
    </row>
    <row r="40" spans="1:17" x14ac:dyDescent="0.3">
      <c r="A40" s="12" t="s">
        <v>155</v>
      </c>
      <c r="B40" s="12" t="s">
        <v>156</v>
      </c>
      <c r="C40" s="12" t="s">
        <v>19</v>
      </c>
      <c r="D40" s="12">
        <v>42</v>
      </c>
      <c r="E40" s="12" t="s">
        <v>91</v>
      </c>
      <c r="F40" s="12" t="s">
        <v>14</v>
      </c>
      <c r="G40" s="12" t="s">
        <v>70</v>
      </c>
      <c r="H40" s="12" t="s">
        <v>77</v>
      </c>
      <c r="I40" s="12">
        <v>4</v>
      </c>
      <c r="J40" s="12">
        <v>88261</v>
      </c>
      <c r="K40" s="12">
        <v>86.3</v>
      </c>
      <c r="L40" s="12">
        <v>17</v>
      </c>
      <c r="M40" s="12">
        <v>22</v>
      </c>
      <c r="N40" s="12">
        <v>69</v>
      </c>
      <c r="O40" s="12" t="s">
        <v>21</v>
      </c>
      <c r="P40" s="12">
        <v>8.25</v>
      </c>
      <c r="Q40" s="12" t="s">
        <v>23</v>
      </c>
    </row>
    <row r="41" spans="1:17" x14ac:dyDescent="0.3">
      <c r="A41" s="12" t="s">
        <v>157</v>
      </c>
      <c r="B41" s="12" t="s">
        <v>158</v>
      </c>
      <c r="C41" s="12" t="s">
        <v>18</v>
      </c>
      <c r="D41" s="12">
        <v>32</v>
      </c>
      <c r="E41" s="12" t="s">
        <v>60</v>
      </c>
      <c r="F41" s="12" t="s">
        <v>13</v>
      </c>
      <c r="G41" s="12" t="s">
        <v>66</v>
      </c>
      <c r="H41" s="12" t="s">
        <v>62</v>
      </c>
      <c r="I41" s="12">
        <v>0</v>
      </c>
      <c r="J41" s="12">
        <v>77350</v>
      </c>
      <c r="K41" s="12">
        <v>71.430000000000007</v>
      </c>
      <c r="L41" s="12">
        <v>13</v>
      </c>
      <c r="M41" s="12">
        <v>33</v>
      </c>
      <c r="N41" s="12">
        <v>119</v>
      </c>
      <c r="O41" s="12" t="s">
        <v>22</v>
      </c>
      <c r="P41" s="12">
        <v>7.53</v>
      </c>
      <c r="Q41" s="12" t="s">
        <v>23</v>
      </c>
    </row>
    <row r="42" spans="1:17" x14ac:dyDescent="0.3">
      <c r="A42" s="12" t="s">
        <v>159</v>
      </c>
      <c r="B42" s="12" t="s">
        <v>160</v>
      </c>
      <c r="C42" s="12" t="s">
        <v>19</v>
      </c>
      <c r="D42" s="12">
        <v>49</v>
      </c>
      <c r="E42" s="12" t="s">
        <v>65</v>
      </c>
      <c r="F42" s="12" t="s">
        <v>15</v>
      </c>
      <c r="G42" s="12" t="s">
        <v>61</v>
      </c>
      <c r="H42" s="12" t="s">
        <v>86</v>
      </c>
      <c r="I42" s="12">
        <v>27</v>
      </c>
      <c r="J42" s="12">
        <v>80476</v>
      </c>
      <c r="K42" s="12">
        <v>80.430000000000007</v>
      </c>
      <c r="L42" s="12">
        <v>1</v>
      </c>
      <c r="M42" s="12">
        <v>57</v>
      </c>
      <c r="N42" s="12">
        <v>120</v>
      </c>
      <c r="O42" s="12" t="s">
        <v>20</v>
      </c>
      <c r="P42" s="12">
        <v>6.6</v>
      </c>
      <c r="Q42" s="12" t="s">
        <v>23</v>
      </c>
    </row>
    <row r="43" spans="1:17" x14ac:dyDescent="0.3">
      <c r="A43" s="12" t="s">
        <v>161</v>
      </c>
      <c r="B43" s="12" t="s">
        <v>162</v>
      </c>
      <c r="C43" s="12" t="s">
        <v>18</v>
      </c>
      <c r="D43" s="12">
        <v>26</v>
      </c>
      <c r="E43" s="12" t="s">
        <v>91</v>
      </c>
      <c r="F43" s="12" t="s">
        <v>14</v>
      </c>
      <c r="G43" s="12" t="s">
        <v>110</v>
      </c>
      <c r="H43" s="12" t="s">
        <v>62</v>
      </c>
      <c r="I43" s="12">
        <v>4</v>
      </c>
      <c r="J43" s="12">
        <v>71855</v>
      </c>
      <c r="K43" s="12">
        <v>78.72</v>
      </c>
      <c r="L43" s="12">
        <v>2</v>
      </c>
      <c r="M43" s="12">
        <v>32</v>
      </c>
      <c r="N43" s="12">
        <v>30</v>
      </c>
      <c r="O43" s="12" t="s">
        <v>21</v>
      </c>
      <c r="P43" s="12">
        <v>4.59</v>
      </c>
      <c r="Q43" s="12" t="s">
        <v>23</v>
      </c>
    </row>
    <row r="44" spans="1:17" x14ac:dyDescent="0.3">
      <c r="A44" s="12" t="s">
        <v>163</v>
      </c>
      <c r="B44" s="12" t="s">
        <v>164</v>
      </c>
      <c r="C44" s="12" t="s">
        <v>18</v>
      </c>
      <c r="D44" s="12">
        <v>31</v>
      </c>
      <c r="E44" s="12" t="s">
        <v>55</v>
      </c>
      <c r="F44" s="12" t="s">
        <v>17</v>
      </c>
      <c r="G44" s="12" t="s">
        <v>135</v>
      </c>
      <c r="H44" s="12" t="s">
        <v>62</v>
      </c>
      <c r="I44" s="12">
        <v>5</v>
      </c>
      <c r="J44" s="12">
        <v>70134</v>
      </c>
      <c r="K44" s="12">
        <v>95.22</v>
      </c>
      <c r="L44" s="12">
        <v>10</v>
      </c>
      <c r="M44" s="12">
        <v>30</v>
      </c>
      <c r="N44" s="12">
        <v>39</v>
      </c>
      <c r="O44" s="12" t="s">
        <v>21</v>
      </c>
      <c r="P44" s="12">
        <v>7.32</v>
      </c>
      <c r="Q44" s="12" t="s">
        <v>23</v>
      </c>
    </row>
    <row r="45" spans="1:17" x14ac:dyDescent="0.3">
      <c r="A45" s="12" t="s">
        <v>165</v>
      </c>
      <c r="B45" s="12" t="s">
        <v>166</v>
      </c>
      <c r="C45" s="12" t="s">
        <v>18</v>
      </c>
      <c r="D45" s="12">
        <v>30</v>
      </c>
      <c r="E45" s="12" t="s">
        <v>80</v>
      </c>
      <c r="F45" s="12" t="s">
        <v>14</v>
      </c>
      <c r="G45" s="12" t="s">
        <v>110</v>
      </c>
      <c r="H45" s="12" t="s">
        <v>62</v>
      </c>
      <c r="I45" s="12">
        <v>5</v>
      </c>
      <c r="J45" s="12">
        <v>81961</v>
      </c>
      <c r="K45" s="12">
        <v>79.69</v>
      </c>
      <c r="L45" s="12">
        <v>8</v>
      </c>
      <c r="M45" s="12">
        <v>21</v>
      </c>
      <c r="N45" s="12">
        <v>113</v>
      </c>
      <c r="O45" s="12" t="s">
        <v>21</v>
      </c>
      <c r="P45" s="12">
        <v>8.35</v>
      </c>
      <c r="Q45" s="12" t="s">
        <v>23</v>
      </c>
    </row>
    <row r="46" spans="1:17" x14ac:dyDescent="0.3">
      <c r="A46" s="12" t="s">
        <v>167</v>
      </c>
      <c r="B46" s="12" t="s">
        <v>168</v>
      </c>
      <c r="C46" s="12" t="s">
        <v>18</v>
      </c>
      <c r="D46" s="12">
        <v>23</v>
      </c>
      <c r="E46" s="12" t="s">
        <v>69</v>
      </c>
      <c r="F46" s="12" t="s">
        <v>17</v>
      </c>
      <c r="G46" s="12" t="s">
        <v>102</v>
      </c>
      <c r="H46" s="12" t="s">
        <v>86</v>
      </c>
      <c r="I46" s="12">
        <v>1</v>
      </c>
      <c r="J46" s="12">
        <v>96098</v>
      </c>
      <c r="K46" s="12">
        <v>86.44</v>
      </c>
      <c r="L46" s="12">
        <v>2</v>
      </c>
      <c r="M46" s="12">
        <v>24</v>
      </c>
      <c r="N46" s="12">
        <v>41</v>
      </c>
      <c r="O46" s="12" t="s">
        <v>20</v>
      </c>
      <c r="P46" s="12">
        <v>5.58</v>
      </c>
      <c r="Q46" s="12" t="s">
        <v>23</v>
      </c>
    </row>
    <row r="47" spans="1:17" x14ac:dyDescent="0.3">
      <c r="A47" s="12" t="s">
        <v>169</v>
      </c>
      <c r="B47" s="12" t="s">
        <v>170</v>
      </c>
      <c r="C47" s="12" t="s">
        <v>19</v>
      </c>
      <c r="D47" s="12">
        <v>57</v>
      </c>
      <c r="E47" s="12" t="s">
        <v>55</v>
      </c>
      <c r="F47" s="12" t="s">
        <v>14</v>
      </c>
      <c r="G47" s="12" t="s">
        <v>70</v>
      </c>
      <c r="H47" s="12" t="s">
        <v>57</v>
      </c>
      <c r="I47" s="12">
        <v>35</v>
      </c>
      <c r="J47" s="12">
        <v>146882</v>
      </c>
      <c r="K47" s="12">
        <v>69.81</v>
      </c>
      <c r="L47" s="12">
        <v>15</v>
      </c>
      <c r="M47" s="12">
        <v>17</v>
      </c>
      <c r="N47" s="12">
        <v>36</v>
      </c>
      <c r="O47" s="12" t="s">
        <v>22</v>
      </c>
      <c r="P47" s="12">
        <v>8.64</v>
      </c>
      <c r="Q47" s="12" t="s">
        <v>24</v>
      </c>
    </row>
    <row r="48" spans="1:17" x14ac:dyDescent="0.3">
      <c r="A48" s="12" t="s">
        <v>171</v>
      </c>
      <c r="B48" s="12" t="s">
        <v>172</v>
      </c>
      <c r="C48" s="12" t="s">
        <v>18</v>
      </c>
      <c r="D48" s="12">
        <v>33</v>
      </c>
      <c r="E48" s="12" t="s">
        <v>80</v>
      </c>
      <c r="F48" s="12" t="s">
        <v>12</v>
      </c>
      <c r="G48" s="12" t="s">
        <v>92</v>
      </c>
      <c r="H48" s="12" t="s">
        <v>77</v>
      </c>
      <c r="I48" s="12">
        <v>7</v>
      </c>
      <c r="J48" s="12">
        <v>140947</v>
      </c>
      <c r="K48" s="12">
        <v>71.819999999999993</v>
      </c>
      <c r="L48" s="12">
        <v>9</v>
      </c>
      <c r="M48" s="12">
        <v>33</v>
      </c>
      <c r="N48" s="12">
        <v>95</v>
      </c>
      <c r="O48" s="12" t="s">
        <v>21</v>
      </c>
      <c r="P48" s="12">
        <v>7.15</v>
      </c>
      <c r="Q48" s="12" t="s">
        <v>23</v>
      </c>
    </row>
    <row r="49" spans="1:17" x14ac:dyDescent="0.3">
      <c r="A49" s="12" t="s">
        <v>173</v>
      </c>
      <c r="B49" s="12" t="s">
        <v>174</v>
      </c>
      <c r="C49" s="12" t="s">
        <v>19</v>
      </c>
      <c r="D49" s="12">
        <v>37</v>
      </c>
      <c r="E49" s="12" t="s">
        <v>65</v>
      </c>
      <c r="F49" s="12" t="s">
        <v>17</v>
      </c>
      <c r="G49" s="12" t="s">
        <v>135</v>
      </c>
      <c r="H49" s="12" t="s">
        <v>77</v>
      </c>
      <c r="I49" s="12">
        <v>8</v>
      </c>
      <c r="J49" s="12">
        <v>97339</v>
      </c>
      <c r="K49" s="12">
        <v>74.37</v>
      </c>
      <c r="L49" s="12">
        <v>6</v>
      </c>
      <c r="M49" s="12">
        <v>39</v>
      </c>
      <c r="N49" s="12">
        <v>85</v>
      </c>
      <c r="O49" s="12" t="s">
        <v>21</v>
      </c>
      <c r="P49" s="12">
        <v>6.55</v>
      </c>
      <c r="Q49" s="12" t="s">
        <v>23</v>
      </c>
    </row>
    <row r="50" spans="1:17" x14ac:dyDescent="0.3">
      <c r="A50" s="12" t="s">
        <v>175</v>
      </c>
      <c r="B50" s="12" t="s">
        <v>176</v>
      </c>
      <c r="C50" s="12" t="s">
        <v>18</v>
      </c>
      <c r="D50" s="12">
        <v>48</v>
      </c>
      <c r="E50" s="12" t="s">
        <v>60</v>
      </c>
      <c r="F50" s="12" t="s">
        <v>15</v>
      </c>
      <c r="G50" s="12" t="s">
        <v>61</v>
      </c>
      <c r="H50" s="12" t="s">
        <v>86</v>
      </c>
      <c r="I50" s="12">
        <v>5</v>
      </c>
      <c r="J50" s="12">
        <v>140677</v>
      </c>
      <c r="K50" s="12">
        <v>85.87</v>
      </c>
      <c r="L50" s="12">
        <v>3</v>
      </c>
      <c r="M50" s="12">
        <v>23</v>
      </c>
      <c r="N50" s="12">
        <v>92</v>
      </c>
      <c r="O50" s="12" t="s">
        <v>22</v>
      </c>
      <c r="P50" s="12">
        <v>6.29</v>
      </c>
      <c r="Q50" s="12" t="s">
        <v>23</v>
      </c>
    </row>
    <row r="51" spans="1:17" x14ac:dyDescent="0.3">
      <c r="A51" s="12" t="s">
        <v>177</v>
      </c>
      <c r="B51" s="12" t="s">
        <v>178</v>
      </c>
      <c r="C51" s="12" t="s">
        <v>19</v>
      </c>
      <c r="D51" s="12">
        <v>34</v>
      </c>
      <c r="E51" s="12" t="s">
        <v>55</v>
      </c>
      <c r="F51" s="12" t="s">
        <v>12</v>
      </c>
      <c r="G51" s="12" t="s">
        <v>92</v>
      </c>
      <c r="H51" s="12" t="s">
        <v>86</v>
      </c>
      <c r="I51" s="12">
        <v>9</v>
      </c>
      <c r="J51" s="12">
        <v>82876</v>
      </c>
      <c r="K51" s="12">
        <v>75.3</v>
      </c>
      <c r="L51" s="12">
        <v>12</v>
      </c>
      <c r="M51" s="12">
        <v>11</v>
      </c>
      <c r="N51" s="12">
        <v>115</v>
      </c>
      <c r="O51" s="12" t="s">
        <v>21</v>
      </c>
      <c r="P51" s="12">
        <v>7.48</v>
      </c>
      <c r="Q51" s="12" t="s">
        <v>23</v>
      </c>
    </row>
    <row r="52" spans="1:17" x14ac:dyDescent="0.3">
      <c r="A52" s="12" t="s">
        <v>179</v>
      </c>
      <c r="B52" s="12" t="s">
        <v>180</v>
      </c>
      <c r="C52" s="12" t="s">
        <v>19</v>
      </c>
      <c r="D52" s="12">
        <v>45</v>
      </c>
      <c r="E52" s="12" t="s">
        <v>55</v>
      </c>
      <c r="F52" s="12" t="s">
        <v>16</v>
      </c>
      <c r="G52" s="12" t="s">
        <v>181</v>
      </c>
      <c r="H52" s="12" t="s">
        <v>86</v>
      </c>
      <c r="I52" s="12">
        <v>14</v>
      </c>
      <c r="J52" s="12">
        <v>45892</v>
      </c>
      <c r="K52" s="12">
        <v>86.32</v>
      </c>
      <c r="L52" s="12">
        <v>15</v>
      </c>
      <c r="M52" s="12">
        <v>48</v>
      </c>
      <c r="N52" s="12">
        <v>105</v>
      </c>
      <c r="O52" s="12" t="s">
        <v>21</v>
      </c>
      <c r="P52" s="12">
        <v>8.36</v>
      </c>
      <c r="Q52" s="12" t="s">
        <v>23</v>
      </c>
    </row>
    <row r="53" spans="1:17" x14ac:dyDescent="0.3">
      <c r="A53" s="12" t="s">
        <v>182</v>
      </c>
      <c r="B53" s="12" t="s">
        <v>183</v>
      </c>
      <c r="C53" s="12" t="s">
        <v>18</v>
      </c>
      <c r="D53" s="12">
        <v>30</v>
      </c>
      <c r="E53" s="12" t="s">
        <v>69</v>
      </c>
      <c r="F53" s="12" t="s">
        <v>13</v>
      </c>
      <c r="G53" s="12" t="s">
        <v>107</v>
      </c>
      <c r="H53" s="12" t="s">
        <v>86</v>
      </c>
      <c r="I53" s="12">
        <v>3</v>
      </c>
      <c r="J53" s="12">
        <v>68247</v>
      </c>
      <c r="K53" s="12">
        <v>89.4</v>
      </c>
      <c r="L53" s="12">
        <v>9</v>
      </c>
      <c r="M53" s="12">
        <v>19</v>
      </c>
      <c r="N53" s="12">
        <v>69</v>
      </c>
      <c r="O53" s="12" t="s">
        <v>21</v>
      </c>
      <c r="P53" s="12">
        <v>8.25</v>
      </c>
      <c r="Q53" s="12" t="s">
        <v>23</v>
      </c>
    </row>
    <row r="54" spans="1:17" x14ac:dyDescent="0.3">
      <c r="A54" s="12" t="s">
        <v>184</v>
      </c>
      <c r="B54" s="12" t="s">
        <v>185</v>
      </c>
      <c r="C54" s="12" t="s">
        <v>19</v>
      </c>
      <c r="D54" s="12">
        <v>43</v>
      </c>
      <c r="E54" s="12" t="s">
        <v>65</v>
      </c>
      <c r="F54" s="12" t="s">
        <v>17</v>
      </c>
      <c r="G54" s="12" t="s">
        <v>102</v>
      </c>
      <c r="H54" s="12" t="s">
        <v>77</v>
      </c>
      <c r="I54" s="12">
        <v>21</v>
      </c>
      <c r="J54" s="12">
        <v>85936</v>
      </c>
      <c r="K54" s="12">
        <v>79.099999999999994</v>
      </c>
      <c r="L54" s="12">
        <v>17</v>
      </c>
      <c r="M54" s="12">
        <v>7</v>
      </c>
      <c r="N54" s="12">
        <v>25</v>
      </c>
      <c r="O54" s="12" t="s">
        <v>20</v>
      </c>
      <c r="P54" s="12">
        <v>7.66</v>
      </c>
      <c r="Q54" s="12" t="s">
        <v>23</v>
      </c>
    </row>
    <row r="55" spans="1:17" x14ac:dyDescent="0.3">
      <c r="A55" s="12" t="s">
        <v>186</v>
      </c>
      <c r="B55" s="12" t="s">
        <v>187</v>
      </c>
      <c r="C55" s="12" t="s">
        <v>19</v>
      </c>
      <c r="D55" s="12">
        <v>39</v>
      </c>
      <c r="E55" s="12" t="s">
        <v>91</v>
      </c>
      <c r="F55" s="12" t="s">
        <v>16</v>
      </c>
      <c r="G55" s="12" t="s">
        <v>181</v>
      </c>
      <c r="H55" s="12" t="s">
        <v>86</v>
      </c>
      <c r="I55" s="12">
        <v>16</v>
      </c>
      <c r="J55" s="12">
        <v>114288</v>
      </c>
      <c r="K55" s="12">
        <v>74.17</v>
      </c>
      <c r="L55" s="12">
        <v>16</v>
      </c>
      <c r="M55" s="12">
        <v>16</v>
      </c>
      <c r="N55" s="12">
        <v>13</v>
      </c>
      <c r="O55" s="12" t="s">
        <v>22</v>
      </c>
      <c r="P55" s="12">
        <v>7.21</v>
      </c>
      <c r="Q55" s="12" t="s">
        <v>23</v>
      </c>
    </row>
    <row r="56" spans="1:17" x14ac:dyDescent="0.3">
      <c r="A56" s="12" t="s">
        <v>188</v>
      </c>
      <c r="B56" s="12" t="s">
        <v>189</v>
      </c>
      <c r="C56" s="12" t="s">
        <v>18</v>
      </c>
      <c r="D56" s="12">
        <v>48</v>
      </c>
      <c r="E56" s="12" t="s">
        <v>69</v>
      </c>
      <c r="F56" s="12" t="s">
        <v>17</v>
      </c>
      <c r="G56" s="12" t="s">
        <v>99</v>
      </c>
      <c r="H56" s="12" t="s">
        <v>86</v>
      </c>
      <c r="I56" s="12">
        <v>0</v>
      </c>
      <c r="J56" s="12">
        <v>109186</v>
      </c>
      <c r="K56" s="12">
        <v>73.099999999999994</v>
      </c>
      <c r="L56" s="12">
        <v>2</v>
      </c>
      <c r="M56" s="12">
        <v>48</v>
      </c>
      <c r="N56" s="12">
        <v>64</v>
      </c>
      <c r="O56" s="12" t="s">
        <v>22</v>
      </c>
      <c r="P56" s="12">
        <v>4.41</v>
      </c>
      <c r="Q56" s="12" t="s">
        <v>23</v>
      </c>
    </row>
    <row r="57" spans="1:17" x14ac:dyDescent="0.3">
      <c r="A57" s="12" t="s">
        <v>190</v>
      </c>
      <c r="B57" s="12" t="s">
        <v>191</v>
      </c>
      <c r="C57" s="12" t="s">
        <v>18</v>
      </c>
      <c r="D57" s="12">
        <v>56</v>
      </c>
      <c r="E57" s="12" t="s">
        <v>55</v>
      </c>
      <c r="F57" s="12" t="s">
        <v>14</v>
      </c>
      <c r="G57" s="12" t="s">
        <v>110</v>
      </c>
      <c r="H57" s="12" t="s">
        <v>77</v>
      </c>
      <c r="I57" s="12">
        <v>0</v>
      </c>
      <c r="J57" s="12">
        <v>144785</v>
      </c>
      <c r="K57" s="12">
        <v>76.89</v>
      </c>
      <c r="L57" s="12">
        <v>5</v>
      </c>
      <c r="M57" s="12">
        <v>40</v>
      </c>
      <c r="N57" s="12">
        <v>50</v>
      </c>
      <c r="O57" s="12" t="s">
        <v>21</v>
      </c>
      <c r="P57" s="12">
        <v>5.36</v>
      </c>
      <c r="Q57" s="12" t="s">
        <v>23</v>
      </c>
    </row>
    <row r="58" spans="1:17" x14ac:dyDescent="0.3">
      <c r="A58" s="12" t="s">
        <v>192</v>
      </c>
      <c r="B58" s="12" t="s">
        <v>193</v>
      </c>
      <c r="C58" s="12" t="s">
        <v>18</v>
      </c>
      <c r="D58" s="12">
        <v>48</v>
      </c>
      <c r="E58" s="12" t="s">
        <v>65</v>
      </c>
      <c r="F58" s="12" t="s">
        <v>16</v>
      </c>
      <c r="G58" s="12" t="s">
        <v>181</v>
      </c>
      <c r="H58" s="12" t="s">
        <v>77</v>
      </c>
      <c r="I58" s="12">
        <v>1</v>
      </c>
      <c r="J58" s="12">
        <v>66150</v>
      </c>
      <c r="K58" s="12">
        <v>98.09</v>
      </c>
      <c r="L58" s="12">
        <v>12</v>
      </c>
      <c r="M58" s="12">
        <v>20</v>
      </c>
      <c r="N58" s="12">
        <v>85</v>
      </c>
      <c r="O58" s="12" t="s">
        <v>22</v>
      </c>
      <c r="P58" s="12">
        <v>8.1999999999999993</v>
      </c>
      <c r="Q58" s="12" t="s">
        <v>23</v>
      </c>
    </row>
    <row r="59" spans="1:17" x14ac:dyDescent="0.3">
      <c r="A59" s="12" t="s">
        <v>194</v>
      </c>
      <c r="B59" s="12" t="s">
        <v>195</v>
      </c>
      <c r="C59" s="12" t="s">
        <v>18</v>
      </c>
      <c r="D59" s="12">
        <v>52</v>
      </c>
      <c r="E59" s="12" t="s">
        <v>55</v>
      </c>
      <c r="F59" s="12" t="s">
        <v>16</v>
      </c>
      <c r="G59" s="12" t="s">
        <v>181</v>
      </c>
      <c r="H59" s="12" t="s">
        <v>86</v>
      </c>
      <c r="I59" s="12">
        <v>21</v>
      </c>
      <c r="J59" s="12">
        <v>85136</v>
      </c>
      <c r="K59" s="12">
        <v>98.55</v>
      </c>
      <c r="L59" s="12">
        <v>15</v>
      </c>
      <c r="M59" s="12">
        <v>20</v>
      </c>
      <c r="N59" s="12">
        <v>99</v>
      </c>
      <c r="O59" s="12" t="s">
        <v>21</v>
      </c>
      <c r="P59" s="12">
        <v>9.51</v>
      </c>
      <c r="Q59" s="12" t="s">
        <v>24</v>
      </c>
    </row>
    <row r="60" spans="1:17" x14ac:dyDescent="0.3">
      <c r="A60" s="12" t="s">
        <v>196</v>
      </c>
      <c r="B60" s="12" t="s">
        <v>197</v>
      </c>
      <c r="C60" s="12" t="s">
        <v>19</v>
      </c>
      <c r="D60" s="12">
        <v>25</v>
      </c>
      <c r="E60" s="12" t="s">
        <v>55</v>
      </c>
      <c r="F60" s="12" t="s">
        <v>12</v>
      </c>
      <c r="G60" s="12" t="s">
        <v>92</v>
      </c>
      <c r="H60" s="12" t="s">
        <v>62</v>
      </c>
      <c r="I60" s="12">
        <v>4</v>
      </c>
      <c r="J60" s="12">
        <v>50733</v>
      </c>
      <c r="K60" s="12">
        <v>93.27</v>
      </c>
      <c r="L60" s="12">
        <v>19</v>
      </c>
      <c r="M60" s="12">
        <v>17</v>
      </c>
      <c r="N60" s="12">
        <v>60</v>
      </c>
      <c r="O60" s="12" t="s">
        <v>20</v>
      </c>
      <c r="P60" s="12">
        <v>9.7799999999999994</v>
      </c>
      <c r="Q60" s="12" t="s">
        <v>24</v>
      </c>
    </row>
    <row r="61" spans="1:17" x14ac:dyDescent="0.3">
      <c r="A61" s="12" t="s">
        <v>198</v>
      </c>
      <c r="B61" s="12" t="s">
        <v>199</v>
      </c>
      <c r="C61" s="12" t="s">
        <v>18</v>
      </c>
      <c r="D61" s="12">
        <v>43</v>
      </c>
      <c r="E61" s="12" t="s">
        <v>91</v>
      </c>
      <c r="F61" s="12" t="s">
        <v>12</v>
      </c>
      <c r="G61" s="12" t="s">
        <v>152</v>
      </c>
      <c r="H61" s="12" t="s">
        <v>57</v>
      </c>
      <c r="I61" s="12">
        <v>22</v>
      </c>
      <c r="J61" s="12">
        <v>98838</v>
      </c>
      <c r="K61" s="12">
        <v>96.34</v>
      </c>
      <c r="L61" s="12">
        <v>19</v>
      </c>
      <c r="M61" s="12">
        <v>40</v>
      </c>
      <c r="N61" s="12">
        <v>19</v>
      </c>
      <c r="O61" s="12" t="s">
        <v>20</v>
      </c>
      <c r="P61" s="12">
        <v>8.34</v>
      </c>
      <c r="Q61" s="12" t="s">
        <v>23</v>
      </c>
    </row>
    <row r="62" spans="1:17" x14ac:dyDescent="0.3">
      <c r="A62" s="12" t="s">
        <v>200</v>
      </c>
      <c r="B62" s="12" t="s">
        <v>201</v>
      </c>
      <c r="C62" s="12" t="s">
        <v>19</v>
      </c>
      <c r="D62" s="12">
        <v>49</v>
      </c>
      <c r="E62" s="12" t="s">
        <v>69</v>
      </c>
      <c r="F62" s="12" t="s">
        <v>15</v>
      </c>
      <c r="G62" s="12" t="s">
        <v>61</v>
      </c>
      <c r="H62" s="12" t="s">
        <v>57</v>
      </c>
      <c r="I62" s="12">
        <v>21</v>
      </c>
      <c r="J62" s="12">
        <v>41915</v>
      </c>
      <c r="K62" s="12">
        <v>90.75</v>
      </c>
      <c r="L62" s="12">
        <v>9</v>
      </c>
      <c r="M62" s="12">
        <v>15</v>
      </c>
      <c r="N62" s="12">
        <v>81</v>
      </c>
      <c r="O62" s="12" t="s">
        <v>21</v>
      </c>
      <c r="P62" s="12">
        <v>9.33</v>
      </c>
      <c r="Q62" s="12" t="s">
        <v>24</v>
      </c>
    </row>
    <row r="63" spans="1:17" x14ac:dyDescent="0.3">
      <c r="A63" s="12" t="s">
        <v>202</v>
      </c>
      <c r="B63" s="12" t="s">
        <v>203</v>
      </c>
      <c r="C63" s="12" t="s">
        <v>19</v>
      </c>
      <c r="D63" s="12">
        <v>55</v>
      </c>
      <c r="E63" s="12" t="s">
        <v>69</v>
      </c>
      <c r="F63" s="12" t="s">
        <v>14</v>
      </c>
      <c r="G63" s="12" t="s">
        <v>110</v>
      </c>
      <c r="H63" s="12" t="s">
        <v>62</v>
      </c>
      <c r="I63" s="12">
        <v>29</v>
      </c>
      <c r="J63" s="12">
        <v>104979</v>
      </c>
      <c r="K63" s="12">
        <v>89.47</v>
      </c>
      <c r="L63" s="12">
        <v>20</v>
      </c>
      <c r="M63" s="12">
        <v>19</v>
      </c>
      <c r="N63" s="12">
        <v>83</v>
      </c>
      <c r="O63" s="12" t="s">
        <v>21</v>
      </c>
      <c r="P63" s="12">
        <v>10</v>
      </c>
      <c r="Q63" s="12" t="s">
        <v>24</v>
      </c>
    </row>
    <row r="64" spans="1:17" x14ac:dyDescent="0.3">
      <c r="A64" s="12" t="s">
        <v>204</v>
      </c>
      <c r="B64" s="12" t="s">
        <v>205</v>
      </c>
      <c r="C64" s="12" t="s">
        <v>18</v>
      </c>
      <c r="D64" s="12">
        <v>58</v>
      </c>
      <c r="E64" s="12" t="s">
        <v>55</v>
      </c>
      <c r="F64" s="12" t="s">
        <v>12</v>
      </c>
      <c r="G64" s="12" t="s">
        <v>92</v>
      </c>
      <c r="H64" s="12" t="s">
        <v>62</v>
      </c>
      <c r="I64" s="12">
        <v>32</v>
      </c>
      <c r="J64" s="12">
        <v>81039</v>
      </c>
      <c r="K64" s="12">
        <v>80.14</v>
      </c>
      <c r="L64" s="12">
        <v>10</v>
      </c>
      <c r="M64" s="12">
        <v>37</v>
      </c>
      <c r="N64" s="12">
        <v>74</v>
      </c>
      <c r="O64" s="12" t="s">
        <v>22</v>
      </c>
      <c r="P64" s="12">
        <v>7.83</v>
      </c>
      <c r="Q64" s="12" t="s">
        <v>23</v>
      </c>
    </row>
    <row r="65" spans="1:17" x14ac:dyDescent="0.3">
      <c r="A65" s="12" t="s">
        <v>206</v>
      </c>
      <c r="B65" s="12" t="s">
        <v>207</v>
      </c>
      <c r="C65" s="12" t="s">
        <v>18</v>
      </c>
      <c r="D65" s="12">
        <v>45</v>
      </c>
      <c r="E65" s="12" t="s">
        <v>69</v>
      </c>
      <c r="F65" s="12" t="s">
        <v>16</v>
      </c>
      <c r="G65" s="12" t="s">
        <v>181</v>
      </c>
      <c r="H65" s="12" t="s">
        <v>57</v>
      </c>
      <c r="I65" s="12">
        <v>9</v>
      </c>
      <c r="J65" s="12">
        <v>118115</v>
      </c>
      <c r="K65" s="12">
        <v>88.46</v>
      </c>
      <c r="L65" s="12">
        <v>11</v>
      </c>
      <c r="M65" s="12">
        <v>23</v>
      </c>
      <c r="N65" s="12">
        <v>19</v>
      </c>
      <c r="O65" s="12" t="s">
        <v>21</v>
      </c>
      <c r="P65" s="12">
        <v>7.3</v>
      </c>
      <c r="Q65" s="12" t="s">
        <v>23</v>
      </c>
    </row>
    <row r="66" spans="1:17" x14ac:dyDescent="0.3">
      <c r="A66" s="12" t="s">
        <v>208</v>
      </c>
      <c r="B66" s="12" t="s">
        <v>209</v>
      </c>
      <c r="C66" s="12" t="s">
        <v>19</v>
      </c>
      <c r="D66" s="12">
        <v>29</v>
      </c>
      <c r="E66" s="12" t="s">
        <v>80</v>
      </c>
      <c r="F66" s="12" t="s">
        <v>17</v>
      </c>
      <c r="G66" s="12" t="s">
        <v>135</v>
      </c>
      <c r="H66" s="12" t="s">
        <v>77</v>
      </c>
      <c r="I66" s="12">
        <v>2</v>
      </c>
      <c r="J66" s="12">
        <v>66888</v>
      </c>
      <c r="K66" s="12">
        <v>95.83</v>
      </c>
      <c r="L66" s="12">
        <v>19</v>
      </c>
      <c r="M66" s="12">
        <v>29</v>
      </c>
      <c r="N66" s="12">
        <v>120</v>
      </c>
      <c r="O66" s="12" t="s">
        <v>21</v>
      </c>
      <c r="P66" s="12">
        <v>9.42</v>
      </c>
      <c r="Q66" s="12" t="s">
        <v>23</v>
      </c>
    </row>
    <row r="67" spans="1:17" x14ac:dyDescent="0.3">
      <c r="A67" s="12" t="s">
        <v>210</v>
      </c>
      <c r="B67" s="12" t="s">
        <v>211</v>
      </c>
      <c r="C67" s="12" t="s">
        <v>19</v>
      </c>
      <c r="D67" s="12">
        <v>27</v>
      </c>
      <c r="E67" s="12" t="s">
        <v>60</v>
      </c>
      <c r="F67" s="12" t="s">
        <v>12</v>
      </c>
      <c r="G67" s="12" t="s">
        <v>92</v>
      </c>
      <c r="H67" s="12" t="s">
        <v>77</v>
      </c>
      <c r="I67" s="12">
        <v>1</v>
      </c>
      <c r="J67" s="12">
        <v>104563</v>
      </c>
      <c r="K67" s="12">
        <v>90.85</v>
      </c>
      <c r="L67" s="12">
        <v>5</v>
      </c>
      <c r="M67" s="12">
        <v>43</v>
      </c>
      <c r="N67" s="12">
        <v>15</v>
      </c>
      <c r="O67" s="12" t="s">
        <v>22</v>
      </c>
      <c r="P67" s="12">
        <v>5.59</v>
      </c>
      <c r="Q67" s="12" t="s">
        <v>23</v>
      </c>
    </row>
    <row r="68" spans="1:17" x14ac:dyDescent="0.3">
      <c r="A68" s="12" t="s">
        <v>212</v>
      </c>
      <c r="B68" s="12" t="s">
        <v>213</v>
      </c>
      <c r="C68" s="12" t="s">
        <v>19</v>
      </c>
      <c r="D68" s="12">
        <v>36</v>
      </c>
      <c r="E68" s="12" t="s">
        <v>80</v>
      </c>
      <c r="F68" s="12" t="s">
        <v>12</v>
      </c>
      <c r="G68" s="12" t="s">
        <v>92</v>
      </c>
      <c r="H68" s="12" t="s">
        <v>77</v>
      </c>
      <c r="I68" s="12">
        <v>1</v>
      </c>
      <c r="J68" s="12">
        <v>115273</v>
      </c>
      <c r="K68" s="12">
        <v>94.14</v>
      </c>
      <c r="L68" s="12">
        <v>7</v>
      </c>
      <c r="M68" s="12">
        <v>2</v>
      </c>
      <c r="N68" s="12">
        <v>107</v>
      </c>
      <c r="O68" s="12" t="s">
        <v>20</v>
      </c>
      <c r="P68" s="12">
        <v>7.04</v>
      </c>
      <c r="Q68" s="12" t="s">
        <v>23</v>
      </c>
    </row>
    <row r="69" spans="1:17" x14ac:dyDescent="0.3">
      <c r="A69" s="12" t="s">
        <v>214</v>
      </c>
      <c r="B69" s="12" t="s">
        <v>215</v>
      </c>
      <c r="C69" s="12" t="s">
        <v>18</v>
      </c>
      <c r="D69" s="12">
        <v>41</v>
      </c>
      <c r="E69" s="12" t="s">
        <v>65</v>
      </c>
      <c r="F69" s="12" t="s">
        <v>13</v>
      </c>
      <c r="G69" s="12" t="s">
        <v>56</v>
      </c>
      <c r="H69" s="12" t="s">
        <v>57</v>
      </c>
      <c r="I69" s="12">
        <v>6</v>
      </c>
      <c r="J69" s="12">
        <v>85189</v>
      </c>
      <c r="K69" s="12">
        <v>67.25</v>
      </c>
      <c r="L69" s="12">
        <v>12</v>
      </c>
      <c r="M69" s="12">
        <v>24</v>
      </c>
      <c r="N69" s="12">
        <v>11</v>
      </c>
      <c r="O69" s="12" t="s">
        <v>22</v>
      </c>
      <c r="P69" s="12">
        <v>6.26</v>
      </c>
      <c r="Q69" s="12" t="s">
        <v>23</v>
      </c>
    </row>
    <row r="70" spans="1:17" x14ac:dyDescent="0.3">
      <c r="A70" s="12" t="s">
        <v>216</v>
      </c>
      <c r="B70" s="12" t="s">
        <v>217</v>
      </c>
      <c r="C70" s="12" t="s">
        <v>18</v>
      </c>
      <c r="D70" s="12">
        <v>51</v>
      </c>
      <c r="E70" s="12" t="s">
        <v>65</v>
      </c>
      <c r="F70" s="12" t="s">
        <v>15</v>
      </c>
      <c r="G70" s="12" t="s">
        <v>130</v>
      </c>
      <c r="H70" s="12" t="s">
        <v>86</v>
      </c>
      <c r="I70" s="12">
        <v>26</v>
      </c>
      <c r="J70" s="12">
        <v>87108</v>
      </c>
      <c r="K70" s="12">
        <v>98.03</v>
      </c>
      <c r="L70" s="12">
        <v>20</v>
      </c>
      <c r="M70" s="12">
        <v>45</v>
      </c>
      <c r="N70" s="12">
        <v>66</v>
      </c>
      <c r="O70" s="12" t="s">
        <v>21</v>
      </c>
      <c r="P70" s="12">
        <v>10</v>
      </c>
      <c r="Q70" s="12" t="s">
        <v>24</v>
      </c>
    </row>
    <row r="71" spans="1:17" x14ac:dyDescent="0.3">
      <c r="A71" s="12" t="s">
        <v>218</v>
      </c>
      <c r="B71" s="12" t="s">
        <v>219</v>
      </c>
      <c r="C71" s="12" t="s">
        <v>18</v>
      </c>
      <c r="D71" s="12">
        <v>41</v>
      </c>
      <c r="E71" s="12" t="s">
        <v>69</v>
      </c>
      <c r="F71" s="12" t="s">
        <v>12</v>
      </c>
      <c r="G71" s="12" t="s">
        <v>119</v>
      </c>
      <c r="H71" s="12" t="s">
        <v>57</v>
      </c>
      <c r="I71" s="12">
        <v>15</v>
      </c>
      <c r="J71" s="12">
        <v>130940</v>
      </c>
      <c r="K71" s="12">
        <v>72.3</v>
      </c>
      <c r="L71" s="12">
        <v>19</v>
      </c>
      <c r="M71" s="12">
        <v>36</v>
      </c>
      <c r="N71" s="12">
        <v>7</v>
      </c>
      <c r="O71" s="12" t="s">
        <v>22</v>
      </c>
      <c r="P71" s="12">
        <v>7.39</v>
      </c>
      <c r="Q71" s="12" t="s">
        <v>23</v>
      </c>
    </row>
    <row r="72" spans="1:17" x14ac:dyDescent="0.3">
      <c r="A72" s="12" t="s">
        <v>220</v>
      </c>
      <c r="B72" s="12" t="s">
        <v>221</v>
      </c>
      <c r="C72" s="12" t="s">
        <v>19</v>
      </c>
      <c r="D72" s="12">
        <v>35</v>
      </c>
      <c r="E72" s="12" t="s">
        <v>91</v>
      </c>
      <c r="F72" s="12" t="s">
        <v>12</v>
      </c>
      <c r="G72" s="12" t="s">
        <v>119</v>
      </c>
      <c r="H72" s="12" t="s">
        <v>77</v>
      </c>
      <c r="I72" s="12">
        <v>14</v>
      </c>
      <c r="J72" s="12">
        <v>79892</v>
      </c>
      <c r="K72" s="12">
        <v>76.94</v>
      </c>
      <c r="L72" s="12">
        <v>20</v>
      </c>
      <c r="M72" s="12">
        <v>0</v>
      </c>
      <c r="N72" s="12">
        <v>113</v>
      </c>
      <c r="O72" s="12" t="s">
        <v>22</v>
      </c>
      <c r="P72" s="12">
        <v>10</v>
      </c>
      <c r="Q72" s="12" t="s">
        <v>24</v>
      </c>
    </row>
    <row r="73" spans="1:17" x14ac:dyDescent="0.3">
      <c r="A73" s="12" t="s">
        <v>222</v>
      </c>
      <c r="B73" s="12" t="s">
        <v>223</v>
      </c>
      <c r="C73" s="12" t="s">
        <v>18</v>
      </c>
      <c r="D73" s="12">
        <v>34</v>
      </c>
      <c r="E73" s="12" t="s">
        <v>60</v>
      </c>
      <c r="F73" s="12" t="s">
        <v>12</v>
      </c>
      <c r="G73" s="12" t="s">
        <v>119</v>
      </c>
      <c r="H73" s="12" t="s">
        <v>77</v>
      </c>
      <c r="I73" s="12">
        <v>12</v>
      </c>
      <c r="J73" s="12">
        <v>84729</v>
      </c>
      <c r="K73" s="12">
        <v>77.2</v>
      </c>
      <c r="L73" s="12">
        <v>9</v>
      </c>
      <c r="M73" s="12">
        <v>35</v>
      </c>
      <c r="N73" s="12">
        <v>56</v>
      </c>
      <c r="O73" s="12" t="s">
        <v>21</v>
      </c>
      <c r="P73" s="12">
        <v>6.08</v>
      </c>
      <c r="Q73" s="12" t="s">
        <v>23</v>
      </c>
    </row>
    <row r="74" spans="1:17" x14ac:dyDescent="0.3">
      <c r="A74" s="12" t="s">
        <v>224</v>
      </c>
      <c r="B74" s="12" t="s">
        <v>225</v>
      </c>
      <c r="C74" s="12" t="s">
        <v>19</v>
      </c>
      <c r="D74" s="12">
        <v>41</v>
      </c>
      <c r="E74" s="12" t="s">
        <v>65</v>
      </c>
      <c r="F74" s="12" t="s">
        <v>14</v>
      </c>
      <c r="G74" s="12" t="s">
        <v>70</v>
      </c>
      <c r="H74" s="12" t="s">
        <v>77</v>
      </c>
      <c r="I74" s="12">
        <v>8</v>
      </c>
      <c r="J74" s="12">
        <v>80621</v>
      </c>
      <c r="K74" s="12">
        <v>67.87</v>
      </c>
      <c r="L74" s="12">
        <v>3</v>
      </c>
      <c r="M74" s="12">
        <v>42</v>
      </c>
      <c r="N74" s="12">
        <v>36</v>
      </c>
      <c r="O74" s="12" t="s">
        <v>22</v>
      </c>
      <c r="P74" s="12">
        <v>4.13</v>
      </c>
      <c r="Q74" s="12" t="s">
        <v>23</v>
      </c>
    </row>
    <row r="75" spans="1:17" x14ac:dyDescent="0.3">
      <c r="A75" s="12" t="s">
        <v>226</v>
      </c>
      <c r="B75" s="12" t="s">
        <v>227</v>
      </c>
      <c r="C75" s="12" t="s">
        <v>19</v>
      </c>
      <c r="D75" s="12">
        <v>58</v>
      </c>
      <c r="E75" s="12" t="s">
        <v>65</v>
      </c>
      <c r="F75" s="12" t="s">
        <v>14</v>
      </c>
      <c r="G75" s="12" t="s">
        <v>110</v>
      </c>
      <c r="H75" s="12" t="s">
        <v>86</v>
      </c>
      <c r="I75" s="12">
        <v>33</v>
      </c>
      <c r="J75" s="12">
        <v>133491</v>
      </c>
      <c r="K75" s="12">
        <v>69.3</v>
      </c>
      <c r="L75" s="12">
        <v>17</v>
      </c>
      <c r="M75" s="12">
        <v>47</v>
      </c>
      <c r="N75" s="12">
        <v>13</v>
      </c>
      <c r="O75" s="12" t="s">
        <v>21</v>
      </c>
      <c r="P75" s="12">
        <v>8.43</v>
      </c>
      <c r="Q75" s="12" t="s">
        <v>23</v>
      </c>
    </row>
    <row r="76" spans="1:17" x14ac:dyDescent="0.3">
      <c r="A76" s="12" t="s">
        <v>228</v>
      </c>
      <c r="B76" s="12" t="s">
        <v>229</v>
      </c>
      <c r="C76" s="12" t="s">
        <v>18</v>
      </c>
      <c r="D76" s="12">
        <v>32</v>
      </c>
      <c r="E76" s="12" t="s">
        <v>65</v>
      </c>
      <c r="F76" s="12" t="s">
        <v>17</v>
      </c>
      <c r="G76" s="12" t="s">
        <v>135</v>
      </c>
      <c r="H76" s="12" t="s">
        <v>57</v>
      </c>
      <c r="I76" s="12">
        <v>8</v>
      </c>
      <c r="J76" s="12">
        <v>96154</v>
      </c>
      <c r="K76" s="12">
        <v>98.72</v>
      </c>
      <c r="L76" s="12">
        <v>16</v>
      </c>
      <c r="M76" s="12">
        <v>2</v>
      </c>
      <c r="N76" s="12">
        <v>49</v>
      </c>
      <c r="O76" s="12" t="s">
        <v>22</v>
      </c>
      <c r="P76" s="12">
        <v>7.97</v>
      </c>
      <c r="Q76" s="12" t="s">
        <v>23</v>
      </c>
    </row>
    <row r="77" spans="1:17" x14ac:dyDescent="0.3">
      <c r="A77" s="12" t="s">
        <v>230</v>
      </c>
      <c r="B77" s="12" t="s">
        <v>231</v>
      </c>
      <c r="C77" s="12" t="s">
        <v>19</v>
      </c>
      <c r="D77" s="12">
        <v>46</v>
      </c>
      <c r="E77" s="12" t="s">
        <v>80</v>
      </c>
      <c r="F77" s="12" t="s">
        <v>12</v>
      </c>
      <c r="G77" s="12" t="s">
        <v>92</v>
      </c>
      <c r="H77" s="12" t="s">
        <v>77</v>
      </c>
      <c r="I77" s="12">
        <v>22</v>
      </c>
      <c r="J77" s="12">
        <v>145182</v>
      </c>
      <c r="K77" s="12">
        <v>82.05</v>
      </c>
      <c r="L77" s="12">
        <v>2</v>
      </c>
      <c r="M77" s="12">
        <v>4</v>
      </c>
      <c r="N77" s="12">
        <v>24</v>
      </c>
      <c r="O77" s="12" t="s">
        <v>22</v>
      </c>
      <c r="P77" s="12">
        <v>5.45</v>
      </c>
      <c r="Q77" s="12" t="s">
        <v>23</v>
      </c>
    </row>
    <row r="78" spans="1:17" x14ac:dyDescent="0.3">
      <c r="A78" s="12" t="s">
        <v>232</v>
      </c>
      <c r="B78" s="12" t="s">
        <v>233</v>
      </c>
      <c r="C78" s="12" t="s">
        <v>19</v>
      </c>
      <c r="D78" s="12">
        <v>48</v>
      </c>
      <c r="E78" s="12" t="s">
        <v>65</v>
      </c>
      <c r="F78" s="12" t="s">
        <v>15</v>
      </c>
      <c r="G78" s="12" t="s">
        <v>130</v>
      </c>
      <c r="H78" s="12" t="s">
        <v>57</v>
      </c>
      <c r="I78" s="12">
        <v>10</v>
      </c>
      <c r="J78" s="12">
        <v>35277</v>
      </c>
      <c r="K78" s="12">
        <v>89.93</v>
      </c>
      <c r="L78" s="12">
        <v>12</v>
      </c>
      <c r="M78" s="12">
        <v>49</v>
      </c>
      <c r="N78" s="12">
        <v>108</v>
      </c>
      <c r="O78" s="12" t="s">
        <v>21</v>
      </c>
      <c r="P78" s="12">
        <v>8.27</v>
      </c>
      <c r="Q78" s="12" t="s">
        <v>23</v>
      </c>
    </row>
    <row r="79" spans="1:17" x14ac:dyDescent="0.3">
      <c r="A79" s="12" t="s">
        <v>234</v>
      </c>
      <c r="B79" s="12" t="s">
        <v>235</v>
      </c>
      <c r="C79" s="12" t="s">
        <v>19</v>
      </c>
      <c r="D79" s="12">
        <v>50</v>
      </c>
      <c r="E79" s="12" t="s">
        <v>55</v>
      </c>
      <c r="F79" s="12" t="s">
        <v>16</v>
      </c>
      <c r="G79" s="12" t="s">
        <v>181</v>
      </c>
      <c r="H79" s="12" t="s">
        <v>86</v>
      </c>
      <c r="I79" s="12">
        <v>1</v>
      </c>
      <c r="J79" s="12">
        <v>95740</v>
      </c>
      <c r="K79" s="12">
        <v>86.24</v>
      </c>
      <c r="L79" s="12">
        <v>19</v>
      </c>
      <c r="M79" s="12">
        <v>60</v>
      </c>
      <c r="N79" s="12">
        <v>92</v>
      </c>
      <c r="O79" s="12" t="s">
        <v>20</v>
      </c>
      <c r="P79" s="12">
        <v>9.11</v>
      </c>
      <c r="Q79" s="12" t="s">
        <v>23</v>
      </c>
    </row>
    <row r="80" spans="1:17" x14ac:dyDescent="0.3">
      <c r="A80" s="12" t="s">
        <v>236</v>
      </c>
      <c r="B80" s="12" t="s">
        <v>237</v>
      </c>
      <c r="C80" s="12" t="s">
        <v>18</v>
      </c>
      <c r="D80" s="12">
        <v>43</v>
      </c>
      <c r="E80" s="12" t="s">
        <v>91</v>
      </c>
      <c r="F80" s="12" t="s">
        <v>15</v>
      </c>
      <c r="G80" s="12" t="s">
        <v>61</v>
      </c>
      <c r="H80" s="12" t="s">
        <v>86</v>
      </c>
      <c r="I80" s="12">
        <v>19</v>
      </c>
      <c r="J80" s="12">
        <v>107850</v>
      </c>
      <c r="K80" s="12">
        <v>95.66</v>
      </c>
      <c r="L80" s="12">
        <v>9</v>
      </c>
      <c r="M80" s="12">
        <v>44</v>
      </c>
      <c r="N80" s="12">
        <v>72</v>
      </c>
      <c r="O80" s="12" t="s">
        <v>20</v>
      </c>
      <c r="P80" s="12">
        <v>7.71</v>
      </c>
      <c r="Q80" s="12" t="s">
        <v>23</v>
      </c>
    </row>
    <row r="81" spans="1:17" x14ac:dyDescent="0.3">
      <c r="A81" s="12" t="s">
        <v>238</v>
      </c>
      <c r="B81" s="12" t="s">
        <v>239</v>
      </c>
      <c r="C81" s="12" t="s">
        <v>19</v>
      </c>
      <c r="D81" s="12">
        <v>28</v>
      </c>
      <c r="E81" s="12" t="s">
        <v>60</v>
      </c>
      <c r="F81" s="12" t="s">
        <v>16</v>
      </c>
      <c r="G81" s="12" t="s">
        <v>76</v>
      </c>
      <c r="H81" s="12" t="s">
        <v>62</v>
      </c>
      <c r="I81" s="12">
        <v>3</v>
      </c>
      <c r="J81" s="12">
        <v>67805</v>
      </c>
      <c r="K81" s="12">
        <v>78.64</v>
      </c>
      <c r="L81" s="12">
        <v>18</v>
      </c>
      <c r="M81" s="12">
        <v>7</v>
      </c>
      <c r="N81" s="12">
        <v>55</v>
      </c>
      <c r="O81" s="12" t="s">
        <v>20</v>
      </c>
      <c r="P81" s="12">
        <v>7.66</v>
      </c>
      <c r="Q81" s="12" t="s">
        <v>23</v>
      </c>
    </row>
    <row r="82" spans="1:17" x14ac:dyDescent="0.3">
      <c r="A82" s="12" t="s">
        <v>240</v>
      </c>
      <c r="B82" s="12" t="s">
        <v>241</v>
      </c>
      <c r="C82" s="12" t="s">
        <v>18</v>
      </c>
      <c r="D82" s="12">
        <v>28</v>
      </c>
      <c r="E82" s="12" t="s">
        <v>55</v>
      </c>
      <c r="F82" s="12" t="s">
        <v>12</v>
      </c>
      <c r="G82" s="12" t="s">
        <v>152</v>
      </c>
      <c r="H82" s="12" t="s">
        <v>77</v>
      </c>
      <c r="I82" s="12">
        <v>0</v>
      </c>
      <c r="J82" s="12">
        <v>126983</v>
      </c>
      <c r="K82" s="12">
        <v>65.12</v>
      </c>
      <c r="L82" s="12">
        <v>12</v>
      </c>
      <c r="M82" s="12">
        <v>2</v>
      </c>
      <c r="N82" s="12">
        <v>86</v>
      </c>
      <c r="O82" s="12" t="s">
        <v>22</v>
      </c>
      <c r="P82" s="12">
        <v>6.17</v>
      </c>
      <c r="Q82" s="12" t="s">
        <v>23</v>
      </c>
    </row>
    <row r="83" spans="1:17" x14ac:dyDescent="0.3">
      <c r="A83" s="12" t="s">
        <v>242</v>
      </c>
      <c r="B83" s="12" t="s">
        <v>243</v>
      </c>
      <c r="C83" s="12" t="s">
        <v>19</v>
      </c>
      <c r="D83" s="12">
        <v>38</v>
      </c>
      <c r="E83" s="12" t="s">
        <v>69</v>
      </c>
      <c r="F83" s="12" t="s">
        <v>14</v>
      </c>
      <c r="G83" s="12" t="s">
        <v>85</v>
      </c>
      <c r="H83" s="12" t="s">
        <v>62</v>
      </c>
      <c r="I83" s="12">
        <v>4</v>
      </c>
      <c r="J83" s="12">
        <v>62540</v>
      </c>
      <c r="K83" s="12">
        <v>83.14</v>
      </c>
      <c r="L83" s="12">
        <v>16</v>
      </c>
      <c r="M83" s="12">
        <v>26</v>
      </c>
      <c r="N83" s="12">
        <v>111</v>
      </c>
      <c r="O83" s="12" t="s">
        <v>21</v>
      </c>
      <c r="P83" s="12">
        <v>7.99</v>
      </c>
      <c r="Q83" s="12" t="s">
        <v>23</v>
      </c>
    </row>
    <row r="84" spans="1:17" x14ac:dyDescent="0.3">
      <c r="A84" s="12" t="s">
        <v>244</v>
      </c>
      <c r="B84" s="12" t="s">
        <v>245</v>
      </c>
      <c r="C84" s="12" t="s">
        <v>18</v>
      </c>
      <c r="D84" s="12">
        <v>24</v>
      </c>
      <c r="E84" s="12" t="s">
        <v>91</v>
      </c>
      <c r="F84" s="12" t="s">
        <v>16</v>
      </c>
      <c r="G84" s="12" t="s">
        <v>181</v>
      </c>
      <c r="H84" s="12" t="s">
        <v>86</v>
      </c>
      <c r="I84" s="12">
        <v>2</v>
      </c>
      <c r="J84" s="12">
        <v>89441</v>
      </c>
      <c r="K84" s="12">
        <v>86.98</v>
      </c>
      <c r="L84" s="12">
        <v>13</v>
      </c>
      <c r="M84" s="12">
        <v>39</v>
      </c>
      <c r="N84" s="12">
        <v>51</v>
      </c>
      <c r="O84" s="12" t="s">
        <v>20</v>
      </c>
      <c r="P84" s="12">
        <v>7.65</v>
      </c>
      <c r="Q84" s="12" t="s">
        <v>23</v>
      </c>
    </row>
    <row r="85" spans="1:17" x14ac:dyDescent="0.3">
      <c r="A85" s="12" t="s">
        <v>246</v>
      </c>
      <c r="B85" s="12" t="s">
        <v>247</v>
      </c>
      <c r="C85" s="12" t="s">
        <v>19</v>
      </c>
      <c r="D85" s="12">
        <v>52</v>
      </c>
      <c r="E85" s="12" t="s">
        <v>65</v>
      </c>
      <c r="F85" s="12" t="s">
        <v>14</v>
      </c>
      <c r="G85" s="12" t="s">
        <v>248</v>
      </c>
      <c r="H85" s="12" t="s">
        <v>57</v>
      </c>
      <c r="I85" s="12">
        <v>16</v>
      </c>
      <c r="J85" s="12">
        <v>71513</v>
      </c>
      <c r="K85" s="12">
        <v>89.39</v>
      </c>
      <c r="L85" s="12">
        <v>13</v>
      </c>
      <c r="M85" s="12">
        <v>42</v>
      </c>
      <c r="N85" s="12">
        <v>20</v>
      </c>
      <c r="O85" s="12" t="s">
        <v>20</v>
      </c>
      <c r="P85" s="12">
        <v>6.34</v>
      </c>
      <c r="Q85" s="12" t="s">
        <v>23</v>
      </c>
    </row>
    <row r="86" spans="1:17" x14ac:dyDescent="0.3">
      <c r="A86" s="12" t="s">
        <v>249</v>
      </c>
      <c r="B86" s="12" t="s">
        <v>250</v>
      </c>
      <c r="C86" s="12" t="s">
        <v>18</v>
      </c>
      <c r="D86" s="12">
        <v>34</v>
      </c>
      <c r="E86" s="12" t="s">
        <v>60</v>
      </c>
      <c r="F86" s="12" t="s">
        <v>14</v>
      </c>
      <c r="G86" s="12" t="s">
        <v>70</v>
      </c>
      <c r="H86" s="12" t="s">
        <v>86</v>
      </c>
      <c r="I86" s="12">
        <v>10</v>
      </c>
      <c r="J86" s="12">
        <v>98921</v>
      </c>
      <c r="K86" s="12">
        <v>96.26</v>
      </c>
      <c r="L86" s="12">
        <v>20</v>
      </c>
      <c r="M86" s="12">
        <v>42</v>
      </c>
      <c r="N86" s="12">
        <v>111</v>
      </c>
      <c r="O86" s="12" t="s">
        <v>21</v>
      </c>
      <c r="P86" s="12">
        <v>10</v>
      </c>
      <c r="Q86" s="12" t="s">
        <v>24</v>
      </c>
    </row>
    <row r="87" spans="1:17" x14ac:dyDescent="0.3">
      <c r="A87" s="12" t="s">
        <v>251</v>
      </c>
      <c r="B87" s="12" t="s">
        <v>252</v>
      </c>
      <c r="C87" s="12" t="s">
        <v>18</v>
      </c>
      <c r="D87" s="12">
        <v>53</v>
      </c>
      <c r="E87" s="12" t="s">
        <v>69</v>
      </c>
      <c r="F87" s="12" t="s">
        <v>15</v>
      </c>
      <c r="G87" s="12" t="s">
        <v>73</v>
      </c>
      <c r="H87" s="12" t="s">
        <v>57</v>
      </c>
      <c r="I87" s="12">
        <v>12</v>
      </c>
      <c r="J87" s="12">
        <v>145527</v>
      </c>
      <c r="K87" s="12">
        <v>75.78</v>
      </c>
      <c r="L87" s="12">
        <v>18</v>
      </c>
      <c r="M87" s="12">
        <v>32</v>
      </c>
      <c r="N87" s="12">
        <v>50</v>
      </c>
      <c r="O87" s="12" t="s">
        <v>20</v>
      </c>
      <c r="P87" s="12">
        <v>7.58</v>
      </c>
      <c r="Q87" s="12" t="s">
        <v>23</v>
      </c>
    </row>
    <row r="88" spans="1:17" x14ac:dyDescent="0.3">
      <c r="A88" s="12" t="s">
        <v>253</v>
      </c>
      <c r="B88" s="12" t="s">
        <v>254</v>
      </c>
      <c r="C88" s="12" t="s">
        <v>19</v>
      </c>
      <c r="D88" s="12">
        <v>25</v>
      </c>
      <c r="E88" s="12" t="s">
        <v>65</v>
      </c>
      <c r="F88" s="12" t="s">
        <v>14</v>
      </c>
      <c r="G88" s="12" t="s">
        <v>85</v>
      </c>
      <c r="H88" s="12" t="s">
        <v>57</v>
      </c>
      <c r="I88" s="12">
        <v>0</v>
      </c>
      <c r="J88" s="12">
        <v>177839</v>
      </c>
      <c r="K88" s="12">
        <v>68.66</v>
      </c>
      <c r="L88" s="12">
        <v>12</v>
      </c>
      <c r="M88" s="12">
        <v>22</v>
      </c>
      <c r="N88" s="12">
        <v>8</v>
      </c>
      <c r="O88" s="12" t="s">
        <v>22</v>
      </c>
      <c r="P88" s="12">
        <v>6.29</v>
      </c>
      <c r="Q88" s="12" t="s">
        <v>23</v>
      </c>
    </row>
    <row r="89" spans="1:17" x14ac:dyDescent="0.3">
      <c r="A89" s="12" t="s">
        <v>255</v>
      </c>
      <c r="B89" s="12" t="s">
        <v>256</v>
      </c>
      <c r="C89" s="12" t="s">
        <v>19</v>
      </c>
      <c r="D89" s="12">
        <v>55</v>
      </c>
      <c r="E89" s="12" t="s">
        <v>60</v>
      </c>
      <c r="F89" s="12" t="s">
        <v>15</v>
      </c>
      <c r="G89" s="12" t="s">
        <v>61</v>
      </c>
      <c r="H89" s="12" t="s">
        <v>86</v>
      </c>
      <c r="I89" s="12">
        <v>27</v>
      </c>
      <c r="J89" s="12">
        <v>45719</v>
      </c>
      <c r="K89" s="12">
        <v>76.67</v>
      </c>
      <c r="L89" s="12">
        <v>5</v>
      </c>
      <c r="M89" s="12">
        <v>60</v>
      </c>
      <c r="N89" s="12">
        <v>54</v>
      </c>
      <c r="O89" s="12" t="s">
        <v>20</v>
      </c>
      <c r="P89" s="12">
        <v>5.65</v>
      </c>
      <c r="Q89" s="12" t="s">
        <v>23</v>
      </c>
    </row>
    <row r="90" spans="1:17" x14ac:dyDescent="0.3">
      <c r="A90" s="12" t="s">
        <v>257</v>
      </c>
      <c r="B90" s="12" t="s">
        <v>258</v>
      </c>
      <c r="C90" s="12" t="s">
        <v>19</v>
      </c>
      <c r="D90" s="12">
        <v>23</v>
      </c>
      <c r="E90" s="12" t="s">
        <v>69</v>
      </c>
      <c r="F90" s="12" t="s">
        <v>14</v>
      </c>
      <c r="G90" s="12" t="s">
        <v>70</v>
      </c>
      <c r="H90" s="12" t="s">
        <v>86</v>
      </c>
      <c r="I90" s="12">
        <v>2</v>
      </c>
      <c r="J90" s="12">
        <v>128413</v>
      </c>
      <c r="K90" s="12">
        <v>66.47</v>
      </c>
      <c r="L90" s="12">
        <v>15</v>
      </c>
      <c r="M90" s="12">
        <v>19</v>
      </c>
      <c r="N90" s="12">
        <v>114</v>
      </c>
      <c r="O90" s="12" t="s">
        <v>20</v>
      </c>
      <c r="P90" s="12">
        <v>7.39</v>
      </c>
      <c r="Q90" s="12" t="s">
        <v>23</v>
      </c>
    </row>
    <row r="91" spans="1:17" x14ac:dyDescent="0.3">
      <c r="A91" s="12" t="s">
        <v>259</v>
      </c>
      <c r="B91" s="12" t="s">
        <v>260</v>
      </c>
      <c r="C91" s="12" t="s">
        <v>19</v>
      </c>
      <c r="D91" s="12">
        <v>49</v>
      </c>
      <c r="E91" s="12" t="s">
        <v>65</v>
      </c>
      <c r="F91" s="12" t="s">
        <v>12</v>
      </c>
      <c r="G91" s="12" t="s">
        <v>92</v>
      </c>
      <c r="H91" s="12" t="s">
        <v>57</v>
      </c>
      <c r="I91" s="12">
        <v>18</v>
      </c>
      <c r="J91" s="12">
        <v>91518</v>
      </c>
      <c r="K91" s="12">
        <v>82.38</v>
      </c>
      <c r="L91" s="12">
        <v>7</v>
      </c>
      <c r="M91" s="12">
        <v>35</v>
      </c>
      <c r="N91" s="12">
        <v>30</v>
      </c>
      <c r="O91" s="12" t="s">
        <v>20</v>
      </c>
      <c r="P91" s="12">
        <v>5.83</v>
      </c>
      <c r="Q91" s="12" t="s">
        <v>23</v>
      </c>
    </row>
    <row r="92" spans="1:17" x14ac:dyDescent="0.3">
      <c r="A92" s="12" t="s">
        <v>261</v>
      </c>
      <c r="B92" s="12" t="s">
        <v>262</v>
      </c>
      <c r="C92" s="12" t="s">
        <v>19</v>
      </c>
      <c r="D92" s="12">
        <v>54</v>
      </c>
      <c r="E92" s="12" t="s">
        <v>55</v>
      </c>
      <c r="F92" s="12" t="s">
        <v>16</v>
      </c>
      <c r="G92" s="12" t="s">
        <v>181</v>
      </c>
      <c r="H92" s="12" t="s">
        <v>86</v>
      </c>
      <c r="I92" s="12">
        <v>12</v>
      </c>
      <c r="J92" s="12">
        <v>71870</v>
      </c>
      <c r="K92" s="12">
        <v>77.02</v>
      </c>
      <c r="L92" s="12">
        <v>16</v>
      </c>
      <c r="M92" s="12">
        <v>58</v>
      </c>
      <c r="N92" s="12">
        <v>89</v>
      </c>
      <c r="O92" s="12" t="s">
        <v>20</v>
      </c>
      <c r="P92" s="12">
        <v>7.83</v>
      </c>
      <c r="Q92" s="12" t="s">
        <v>23</v>
      </c>
    </row>
    <row r="93" spans="1:17" x14ac:dyDescent="0.3">
      <c r="A93" s="12" t="s">
        <v>263</v>
      </c>
      <c r="B93" s="12" t="s">
        <v>264</v>
      </c>
      <c r="C93" s="12" t="s">
        <v>19</v>
      </c>
      <c r="D93" s="12">
        <v>45</v>
      </c>
      <c r="E93" s="12" t="s">
        <v>69</v>
      </c>
      <c r="F93" s="12" t="s">
        <v>13</v>
      </c>
      <c r="G93" s="12" t="s">
        <v>56</v>
      </c>
      <c r="H93" s="12" t="s">
        <v>86</v>
      </c>
      <c r="I93" s="12">
        <v>15</v>
      </c>
      <c r="J93" s="12">
        <v>89322</v>
      </c>
      <c r="K93" s="12">
        <v>83.27</v>
      </c>
      <c r="L93" s="12">
        <v>17</v>
      </c>
      <c r="M93" s="12">
        <v>44</v>
      </c>
      <c r="N93" s="12">
        <v>70</v>
      </c>
      <c r="O93" s="12" t="s">
        <v>21</v>
      </c>
      <c r="P93" s="12">
        <v>8.0500000000000007</v>
      </c>
      <c r="Q93" s="12" t="s">
        <v>23</v>
      </c>
    </row>
    <row r="94" spans="1:17" x14ac:dyDescent="0.3">
      <c r="A94" s="12" t="s">
        <v>265</v>
      </c>
      <c r="B94" s="12" t="s">
        <v>266</v>
      </c>
      <c r="C94" s="12" t="s">
        <v>18</v>
      </c>
      <c r="D94" s="12">
        <v>33</v>
      </c>
      <c r="E94" s="12" t="s">
        <v>55</v>
      </c>
      <c r="F94" s="12" t="s">
        <v>12</v>
      </c>
      <c r="G94" s="12" t="s">
        <v>152</v>
      </c>
      <c r="H94" s="12" t="s">
        <v>86</v>
      </c>
      <c r="I94" s="12">
        <v>5</v>
      </c>
      <c r="J94" s="12">
        <v>73935</v>
      </c>
      <c r="K94" s="12">
        <v>70.98</v>
      </c>
      <c r="L94" s="12">
        <v>19</v>
      </c>
      <c r="M94" s="12">
        <v>50</v>
      </c>
      <c r="N94" s="12">
        <v>53</v>
      </c>
      <c r="O94" s="12" t="s">
        <v>20</v>
      </c>
      <c r="P94" s="12">
        <v>7.9</v>
      </c>
      <c r="Q94" s="12" t="s">
        <v>23</v>
      </c>
    </row>
    <row r="95" spans="1:17" x14ac:dyDescent="0.3">
      <c r="A95" s="12" t="s">
        <v>267</v>
      </c>
      <c r="B95" s="12" t="s">
        <v>268</v>
      </c>
      <c r="C95" s="12" t="s">
        <v>19</v>
      </c>
      <c r="D95" s="12">
        <v>40</v>
      </c>
      <c r="E95" s="12" t="s">
        <v>80</v>
      </c>
      <c r="F95" s="12" t="s">
        <v>13</v>
      </c>
      <c r="G95" s="12" t="s">
        <v>56</v>
      </c>
      <c r="H95" s="12" t="s">
        <v>62</v>
      </c>
      <c r="I95" s="12">
        <v>5</v>
      </c>
      <c r="J95" s="12">
        <v>99198</v>
      </c>
      <c r="K95" s="12">
        <v>71.59</v>
      </c>
      <c r="L95" s="12">
        <v>20</v>
      </c>
      <c r="M95" s="12">
        <v>44</v>
      </c>
      <c r="N95" s="12">
        <v>94</v>
      </c>
      <c r="O95" s="12" t="s">
        <v>20</v>
      </c>
      <c r="P95" s="12">
        <v>7.75</v>
      </c>
      <c r="Q95" s="12" t="s">
        <v>23</v>
      </c>
    </row>
    <row r="96" spans="1:17" x14ac:dyDescent="0.3">
      <c r="A96" s="12" t="s">
        <v>269</v>
      </c>
      <c r="B96" s="12" t="s">
        <v>270</v>
      </c>
      <c r="C96" s="12" t="s">
        <v>19</v>
      </c>
      <c r="D96" s="12">
        <v>38</v>
      </c>
      <c r="E96" s="12" t="s">
        <v>65</v>
      </c>
      <c r="F96" s="12" t="s">
        <v>16</v>
      </c>
      <c r="G96" s="12" t="s">
        <v>271</v>
      </c>
      <c r="H96" s="12" t="s">
        <v>57</v>
      </c>
      <c r="I96" s="12">
        <v>11</v>
      </c>
      <c r="J96" s="12">
        <v>81432</v>
      </c>
      <c r="K96" s="12">
        <v>98.36</v>
      </c>
      <c r="L96" s="12">
        <v>17</v>
      </c>
      <c r="M96" s="12">
        <v>14</v>
      </c>
      <c r="N96" s="12">
        <v>78</v>
      </c>
      <c r="O96" s="12" t="s">
        <v>20</v>
      </c>
      <c r="P96" s="12">
        <v>9.9600000000000009</v>
      </c>
      <c r="Q96" s="12" t="s">
        <v>24</v>
      </c>
    </row>
    <row r="97" spans="1:17" x14ac:dyDescent="0.3">
      <c r="A97" s="12" t="s">
        <v>272</v>
      </c>
      <c r="B97" s="12" t="s">
        <v>273</v>
      </c>
      <c r="C97" s="12" t="s">
        <v>18</v>
      </c>
      <c r="D97" s="12">
        <v>42</v>
      </c>
      <c r="E97" s="12" t="s">
        <v>91</v>
      </c>
      <c r="F97" s="12" t="s">
        <v>15</v>
      </c>
      <c r="G97" s="12" t="s">
        <v>73</v>
      </c>
      <c r="H97" s="12" t="s">
        <v>57</v>
      </c>
      <c r="I97" s="12">
        <v>11</v>
      </c>
      <c r="J97" s="12">
        <v>130875</v>
      </c>
      <c r="K97" s="12">
        <v>72.349999999999994</v>
      </c>
      <c r="L97" s="12">
        <v>5</v>
      </c>
      <c r="M97" s="12">
        <v>26</v>
      </c>
      <c r="N97" s="12">
        <v>99</v>
      </c>
      <c r="O97" s="12" t="s">
        <v>20</v>
      </c>
      <c r="P97" s="12">
        <v>6.58</v>
      </c>
      <c r="Q97" s="12" t="s">
        <v>23</v>
      </c>
    </row>
    <row r="98" spans="1:17" x14ac:dyDescent="0.3">
      <c r="A98" s="12" t="s">
        <v>274</v>
      </c>
      <c r="B98" s="12" t="s">
        <v>275</v>
      </c>
      <c r="C98" s="12" t="s">
        <v>18</v>
      </c>
      <c r="D98" s="12">
        <v>49</v>
      </c>
      <c r="E98" s="12" t="s">
        <v>65</v>
      </c>
      <c r="F98" s="12" t="s">
        <v>17</v>
      </c>
      <c r="G98" s="12" t="s">
        <v>102</v>
      </c>
      <c r="H98" s="12" t="s">
        <v>62</v>
      </c>
      <c r="I98" s="12">
        <v>20</v>
      </c>
      <c r="J98" s="12">
        <v>47974</v>
      </c>
      <c r="K98" s="12">
        <v>99.47</v>
      </c>
      <c r="L98" s="12">
        <v>10</v>
      </c>
      <c r="M98" s="12">
        <v>47</v>
      </c>
      <c r="N98" s="12">
        <v>44</v>
      </c>
      <c r="O98" s="12" t="s">
        <v>21</v>
      </c>
      <c r="P98" s="12">
        <v>8.6199999999999992</v>
      </c>
      <c r="Q98" s="12" t="s">
        <v>24</v>
      </c>
    </row>
    <row r="99" spans="1:17" x14ac:dyDescent="0.3">
      <c r="A99" s="12" t="s">
        <v>276</v>
      </c>
      <c r="B99" s="12" t="s">
        <v>277</v>
      </c>
      <c r="C99" s="12" t="s">
        <v>18</v>
      </c>
      <c r="D99" s="12">
        <v>51</v>
      </c>
      <c r="E99" s="12" t="s">
        <v>55</v>
      </c>
      <c r="F99" s="12" t="s">
        <v>17</v>
      </c>
      <c r="G99" s="12" t="s">
        <v>99</v>
      </c>
      <c r="H99" s="12" t="s">
        <v>86</v>
      </c>
      <c r="I99" s="12">
        <v>11</v>
      </c>
      <c r="J99" s="12">
        <v>55731</v>
      </c>
      <c r="K99" s="12">
        <v>78.7</v>
      </c>
      <c r="L99" s="12">
        <v>16</v>
      </c>
      <c r="M99" s="12">
        <v>47</v>
      </c>
      <c r="N99" s="12">
        <v>77</v>
      </c>
      <c r="O99" s="12" t="s">
        <v>20</v>
      </c>
      <c r="P99" s="12">
        <v>8.7799999999999994</v>
      </c>
      <c r="Q99" s="12" t="s">
        <v>24</v>
      </c>
    </row>
    <row r="100" spans="1:17" x14ac:dyDescent="0.3">
      <c r="A100" s="12" t="s">
        <v>278</v>
      </c>
      <c r="B100" s="12" t="s">
        <v>279</v>
      </c>
      <c r="C100" s="12" t="s">
        <v>19</v>
      </c>
      <c r="D100" s="12">
        <v>54</v>
      </c>
      <c r="E100" s="12" t="s">
        <v>91</v>
      </c>
      <c r="F100" s="12" t="s">
        <v>13</v>
      </c>
      <c r="G100" s="12" t="s">
        <v>107</v>
      </c>
      <c r="H100" s="12" t="s">
        <v>62</v>
      </c>
      <c r="I100" s="12">
        <v>4</v>
      </c>
      <c r="J100" s="12">
        <v>62802</v>
      </c>
      <c r="K100" s="12">
        <v>96.79</v>
      </c>
      <c r="L100" s="12">
        <v>18</v>
      </c>
      <c r="M100" s="12">
        <v>18</v>
      </c>
      <c r="N100" s="12">
        <v>82</v>
      </c>
      <c r="O100" s="12" t="s">
        <v>21</v>
      </c>
      <c r="P100" s="12">
        <v>9.7899999999999991</v>
      </c>
      <c r="Q100" s="12" t="s">
        <v>24</v>
      </c>
    </row>
    <row r="101" spans="1:17" x14ac:dyDescent="0.3">
      <c r="A101" s="12" t="s">
        <v>280</v>
      </c>
      <c r="B101" s="12" t="s">
        <v>281</v>
      </c>
      <c r="C101" s="12" t="s">
        <v>18</v>
      </c>
      <c r="D101" s="12">
        <v>57</v>
      </c>
      <c r="E101" s="12" t="s">
        <v>91</v>
      </c>
      <c r="F101" s="12" t="s">
        <v>15</v>
      </c>
      <c r="G101" s="12" t="s">
        <v>130</v>
      </c>
      <c r="H101" s="12" t="s">
        <v>57</v>
      </c>
      <c r="I101" s="12">
        <v>20</v>
      </c>
      <c r="J101" s="12">
        <v>71686</v>
      </c>
      <c r="K101" s="12">
        <v>75.08</v>
      </c>
      <c r="L101" s="12">
        <v>8</v>
      </c>
      <c r="M101" s="12">
        <v>3</v>
      </c>
      <c r="N101" s="12">
        <v>84</v>
      </c>
      <c r="O101" s="12" t="s">
        <v>21</v>
      </c>
      <c r="P101" s="12">
        <v>7.04</v>
      </c>
      <c r="Q101" s="12" t="s">
        <v>23</v>
      </c>
    </row>
    <row r="102" spans="1:17" x14ac:dyDescent="0.3">
      <c r="A102" s="12" t="s">
        <v>282</v>
      </c>
      <c r="B102" s="12" t="s">
        <v>283</v>
      </c>
      <c r="C102" s="12" t="s">
        <v>18</v>
      </c>
      <c r="D102" s="12">
        <v>42</v>
      </c>
      <c r="E102" s="12" t="s">
        <v>55</v>
      </c>
      <c r="F102" s="12" t="s">
        <v>15</v>
      </c>
      <c r="G102" s="12" t="s">
        <v>61</v>
      </c>
      <c r="H102" s="12" t="s">
        <v>57</v>
      </c>
      <c r="I102" s="12">
        <v>8</v>
      </c>
      <c r="J102" s="12">
        <v>144466</v>
      </c>
      <c r="K102" s="12">
        <v>84.21</v>
      </c>
      <c r="L102" s="12">
        <v>3</v>
      </c>
      <c r="M102" s="12">
        <v>2</v>
      </c>
      <c r="N102" s="12">
        <v>117</v>
      </c>
      <c r="O102" s="12" t="s">
        <v>21</v>
      </c>
      <c r="P102" s="12">
        <v>8.24</v>
      </c>
      <c r="Q102" s="12" t="s">
        <v>23</v>
      </c>
    </row>
    <row r="103" spans="1:17" x14ac:dyDescent="0.3">
      <c r="A103" s="12" t="s">
        <v>284</v>
      </c>
      <c r="B103" s="12" t="s">
        <v>285</v>
      </c>
      <c r="C103" s="12" t="s">
        <v>18</v>
      </c>
      <c r="D103" s="12">
        <v>26</v>
      </c>
      <c r="E103" s="12" t="s">
        <v>91</v>
      </c>
      <c r="F103" s="12" t="s">
        <v>17</v>
      </c>
      <c r="G103" s="12" t="s">
        <v>99</v>
      </c>
      <c r="H103" s="12" t="s">
        <v>86</v>
      </c>
      <c r="I103" s="12">
        <v>0</v>
      </c>
      <c r="J103" s="12">
        <v>114532</v>
      </c>
      <c r="K103" s="12">
        <v>83.06</v>
      </c>
      <c r="L103" s="12">
        <v>3</v>
      </c>
      <c r="M103" s="12">
        <v>39</v>
      </c>
      <c r="N103" s="12">
        <v>22</v>
      </c>
      <c r="O103" s="12" t="s">
        <v>21</v>
      </c>
      <c r="P103" s="12">
        <v>5.4</v>
      </c>
      <c r="Q103" s="12" t="s">
        <v>23</v>
      </c>
    </row>
    <row r="104" spans="1:17" x14ac:dyDescent="0.3">
      <c r="A104" s="12" t="s">
        <v>286</v>
      </c>
      <c r="B104" s="12" t="s">
        <v>287</v>
      </c>
      <c r="C104" s="12" t="s">
        <v>18</v>
      </c>
      <c r="D104" s="12">
        <v>31</v>
      </c>
      <c r="E104" s="12" t="s">
        <v>60</v>
      </c>
      <c r="F104" s="12" t="s">
        <v>15</v>
      </c>
      <c r="G104" s="12" t="s">
        <v>61</v>
      </c>
      <c r="H104" s="12" t="s">
        <v>57</v>
      </c>
      <c r="I104" s="12">
        <v>1</v>
      </c>
      <c r="J104" s="12">
        <v>141632</v>
      </c>
      <c r="K104" s="12">
        <v>93.96</v>
      </c>
      <c r="L104" s="12">
        <v>6</v>
      </c>
      <c r="M104" s="12">
        <v>33</v>
      </c>
      <c r="N104" s="12">
        <v>18</v>
      </c>
      <c r="O104" s="12" t="s">
        <v>20</v>
      </c>
      <c r="P104" s="12">
        <v>5.15</v>
      </c>
      <c r="Q104" s="12" t="s">
        <v>23</v>
      </c>
    </row>
    <row r="105" spans="1:17" x14ac:dyDescent="0.3">
      <c r="A105" s="12" t="s">
        <v>288</v>
      </c>
      <c r="B105" s="12" t="s">
        <v>289</v>
      </c>
      <c r="C105" s="12" t="s">
        <v>18</v>
      </c>
      <c r="D105" s="12">
        <v>27</v>
      </c>
      <c r="E105" s="12" t="s">
        <v>91</v>
      </c>
      <c r="F105" s="12" t="s">
        <v>13</v>
      </c>
      <c r="G105" s="12" t="s">
        <v>56</v>
      </c>
      <c r="H105" s="12" t="s">
        <v>86</v>
      </c>
      <c r="I105" s="12">
        <v>3</v>
      </c>
      <c r="J105" s="12">
        <v>49077</v>
      </c>
      <c r="K105" s="12">
        <v>94.49</v>
      </c>
      <c r="L105" s="12">
        <v>12</v>
      </c>
      <c r="M105" s="12">
        <v>37</v>
      </c>
      <c r="N105" s="12">
        <v>83</v>
      </c>
      <c r="O105" s="12" t="s">
        <v>20</v>
      </c>
      <c r="P105" s="12">
        <v>8.98</v>
      </c>
      <c r="Q105" s="12" t="s">
        <v>24</v>
      </c>
    </row>
    <row r="106" spans="1:17" x14ac:dyDescent="0.3">
      <c r="A106" s="12" t="s">
        <v>290</v>
      </c>
      <c r="B106" s="12" t="s">
        <v>291</v>
      </c>
      <c r="C106" s="12" t="s">
        <v>18</v>
      </c>
      <c r="D106" s="12">
        <v>56</v>
      </c>
      <c r="E106" s="12" t="s">
        <v>91</v>
      </c>
      <c r="F106" s="12" t="s">
        <v>16</v>
      </c>
      <c r="G106" s="12" t="s">
        <v>76</v>
      </c>
      <c r="H106" s="12" t="s">
        <v>86</v>
      </c>
      <c r="I106" s="12">
        <v>1</v>
      </c>
      <c r="J106" s="12">
        <v>41923</v>
      </c>
      <c r="K106" s="12">
        <v>70.84</v>
      </c>
      <c r="L106" s="12">
        <v>20</v>
      </c>
      <c r="M106" s="12">
        <v>12</v>
      </c>
      <c r="N106" s="12">
        <v>80</v>
      </c>
      <c r="O106" s="12" t="s">
        <v>21</v>
      </c>
      <c r="P106" s="12">
        <v>9.18</v>
      </c>
      <c r="Q106" s="12" t="s">
        <v>23</v>
      </c>
    </row>
    <row r="107" spans="1:17" x14ac:dyDescent="0.3">
      <c r="A107" s="12" t="s">
        <v>292</v>
      </c>
      <c r="B107" s="12" t="s">
        <v>293</v>
      </c>
      <c r="C107" s="12" t="s">
        <v>18</v>
      </c>
      <c r="D107" s="12">
        <v>27</v>
      </c>
      <c r="E107" s="12" t="s">
        <v>80</v>
      </c>
      <c r="F107" s="12" t="s">
        <v>15</v>
      </c>
      <c r="G107" s="12" t="s">
        <v>73</v>
      </c>
      <c r="H107" s="12" t="s">
        <v>57</v>
      </c>
      <c r="I107" s="12">
        <v>0</v>
      </c>
      <c r="J107" s="12">
        <v>34174</v>
      </c>
      <c r="K107" s="12">
        <v>70.13</v>
      </c>
      <c r="L107" s="12">
        <v>10</v>
      </c>
      <c r="M107" s="12">
        <v>49</v>
      </c>
      <c r="N107" s="12">
        <v>86</v>
      </c>
      <c r="O107" s="12" t="s">
        <v>21</v>
      </c>
      <c r="P107" s="12">
        <v>7.11</v>
      </c>
      <c r="Q107" s="12" t="s">
        <v>23</v>
      </c>
    </row>
    <row r="108" spans="1:17" x14ac:dyDescent="0.3">
      <c r="A108" s="12" t="s">
        <v>294</v>
      </c>
      <c r="B108" s="12" t="s">
        <v>295</v>
      </c>
      <c r="C108" s="12" t="s">
        <v>18</v>
      </c>
      <c r="D108" s="12">
        <v>39</v>
      </c>
      <c r="E108" s="12" t="s">
        <v>65</v>
      </c>
      <c r="F108" s="12" t="s">
        <v>16</v>
      </c>
      <c r="G108" s="12" t="s">
        <v>271</v>
      </c>
      <c r="H108" s="12" t="s">
        <v>57</v>
      </c>
      <c r="I108" s="12">
        <v>10</v>
      </c>
      <c r="J108" s="12">
        <v>113829</v>
      </c>
      <c r="K108" s="12">
        <v>82.59</v>
      </c>
      <c r="L108" s="12">
        <v>2</v>
      </c>
      <c r="M108" s="12">
        <v>53</v>
      </c>
      <c r="N108" s="12">
        <v>72</v>
      </c>
      <c r="O108" s="12" t="s">
        <v>22</v>
      </c>
      <c r="P108" s="12">
        <v>6.37</v>
      </c>
      <c r="Q108" s="12" t="s">
        <v>23</v>
      </c>
    </row>
    <row r="109" spans="1:17" x14ac:dyDescent="0.3">
      <c r="A109" s="12" t="s">
        <v>296</v>
      </c>
      <c r="B109" s="12" t="s">
        <v>297</v>
      </c>
      <c r="C109" s="12" t="s">
        <v>18</v>
      </c>
      <c r="D109" s="12">
        <v>52</v>
      </c>
      <c r="E109" s="12" t="s">
        <v>91</v>
      </c>
      <c r="F109" s="12" t="s">
        <v>12</v>
      </c>
      <c r="G109" s="12" t="s">
        <v>92</v>
      </c>
      <c r="H109" s="12" t="s">
        <v>57</v>
      </c>
      <c r="I109" s="12">
        <v>3</v>
      </c>
      <c r="J109" s="12">
        <v>158857</v>
      </c>
      <c r="K109" s="12">
        <v>70.59</v>
      </c>
      <c r="L109" s="12">
        <v>6</v>
      </c>
      <c r="M109" s="12">
        <v>32</v>
      </c>
      <c r="N109" s="12">
        <v>107</v>
      </c>
      <c r="O109" s="12" t="s">
        <v>22</v>
      </c>
      <c r="P109" s="12">
        <v>5.96</v>
      </c>
      <c r="Q109" s="12" t="s">
        <v>23</v>
      </c>
    </row>
    <row r="110" spans="1:17" x14ac:dyDescent="0.3">
      <c r="A110" s="12" t="s">
        <v>298</v>
      </c>
      <c r="B110" s="12" t="s">
        <v>299</v>
      </c>
      <c r="C110" s="12" t="s">
        <v>18</v>
      </c>
      <c r="D110" s="12">
        <v>48</v>
      </c>
      <c r="E110" s="12" t="s">
        <v>60</v>
      </c>
      <c r="F110" s="12" t="s">
        <v>15</v>
      </c>
      <c r="G110" s="12" t="s">
        <v>61</v>
      </c>
      <c r="H110" s="12" t="s">
        <v>86</v>
      </c>
      <c r="I110" s="12">
        <v>5</v>
      </c>
      <c r="J110" s="12">
        <v>48727</v>
      </c>
      <c r="K110" s="12">
        <v>80.44</v>
      </c>
      <c r="L110" s="12">
        <v>1</v>
      </c>
      <c r="M110" s="12">
        <v>6</v>
      </c>
      <c r="N110" s="12">
        <v>11</v>
      </c>
      <c r="O110" s="12" t="s">
        <v>20</v>
      </c>
      <c r="P110" s="12">
        <v>5.28</v>
      </c>
      <c r="Q110" s="12" t="s">
        <v>23</v>
      </c>
    </row>
    <row r="111" spans="1:17" x14ac:dyDescent="0.3">
      <c r="A111" s="12" t="s">
        <v>300</v>
      </c>
      <c r="B111" s="12" t="s">
        <v>301</v>
      </c>
      <c r="C111" s="12" t="s">
        <v>19</v>
      </c>
      <c r="D111" s="12">
        <v>39</v>
      </c>
      <c r="E111" s="12" t="s">
        <v>65</v>
      </c>
      <c r="F111" s="12" t="s">
        <v>13</v>
      </c>
      <c r="G111" s="12" t="s">
        <v>66</v>
      </c>
      <c r="H111" s="12" t="s">
        <v>57</v>
      </c>
      <c r="I111" s="12">
        <v>7</v>
      </c>
      <c r="J111" s="12">
        <v>66051</v>
      </c>
      <c r="K111" s="12">
        <v>92.59</v>
      </c>
      <c r="L111" s="12">
        <v>1</v>
      </c>
      <c r="M111" s="12">
        <v>14</v>
      </c>
      <c r="N111" s="12">
        <v>73</v>
      </c>
      <c r="O111" s="12" t="s">
        <v>22</v>
      </c>
      <c r="P111" s="12">
        <v>5.54</v>
      </c>
      <c r="Q111" s="12" t="s">
        <v>23</v>
      </c>
    </row>
    <row r="112" spans="1:17" x14ac:dyDescent="0.3">
      <c r="A112" s="12" t="s">
        <v>302</v>
      </c>
      <c r="B112" s="12" t="s">
        <v>303</v>
      </c>
      <c r="C112" s="12" t="s">
        <v>18</v>
      </c>
      <c r="D112" s="12">
        <v>39</v>
      </c>
      <c r="E112" s="12" t="s">
        <v>91</v>
      </c>
      <c r="F112" s="12" t="s">
        <v>16</v>
      </c>
      <c r="G112" s="12" t="s">
        <v>76</v>
      </c>
      <c r="H112" s="12" t="s">
        <v>86</v>
      </c>
      <c r="I112" s="12">
        <v>16</v>
      </c>
      <c r="J112" s="12">
        <v>98178</v>
      </c>
      <c r="K112" s="12">
        <v>71.900000000000006</v>
      </c>
      <c r="L112" s="12">
        <v>16</v>
      </c>
      <c r="M112" s="12">
        <v>10</v>
      </c>
      <c r="N112" s="12">
        <v>74</v>
      </c>
      <c r="O112" s="12" t="s">
        <v>20</v>
      </c>
      <c r="P112" s="12">
        <v>7.95</v>
      </c>
      <c r="Q112" s="12" t="s">
        <v>23</v>
      </c>
    </row>
    <row r="113" spans="1:17" x14ac:dyDescent="0.3">
      <c r="A113" s="12" t="s">
        <v>304</v>
      </c>
      <c r="B113" s="12" t="s">
        <v>305</v>
      </c>
      <c r="C113" s="12" t="s">
        <v>19</v>
      </c>
      <c r="D113" s="12">
        <v>27</v>
      </c>
      <c r="E113" s="12" t="s">
        <v>80</v>
      </c>
      <c r="F113" s="12" t="s">
        <v>13</v>
      </c>
      <c r="G113" s="12" t="s">
        <v>66</v>
      </c>
      <c r="H113" s="12" t="s">
        <v>62</v>
      </c>
      <c r="I113" s="12">
        <v>6</v>
      </c>
      <c r="J113" s="12">
        <v>48051</v>
      </c>
      <c r="K113" s="12">
        <v>87.32</v>
      </c>
      <c r="L113" s="12">
        <v>14</v>
      </c>
      <c r="M113" s="12">
        <v>26</v>
      </c>
      <c r="N113" s="12">
        <v>97</v>
      </c>
      <c r="O113" s="12" t="s">
        <v>20</v>
      </c>
      <c r="P113" s="12">
        <v>8.83</v>
      </c>
      <c r="Q113" s="12" t="s">
        <v>24</v>
      </c>
    </row>
    <row r="114" spans="1:17" x14ac:dyDescent="0.3">
      <c r="A114" s="12" t="s">
        <v>306</v>
      </c>
      <c r="B114" s="12" t="s">
        <v>307</v>
      </c>
      <c r="C114" s="12" t="s">
        <v>19</v>
      </c>
      <c r="D114" s="12">
        <v>28</v>
      </c>
      <c r="E114" s="12" t="s">
        <v>55</v>
      </c>
      <c r="F114" s="12" t="s">
        <v>13</v>
      </c>
      <c r="G114" s="12" t="s">
        <v>107</v>
      </c>
      <c r="H114" s="12" t="s">
        <v>57</v>
      </c>
      <c r="I114" s="12">
        <v>2</v>
      </c>
      <c r="J114" s="12">
        <v>83976</v>
      </c>
      <c r="K114" s="12">
        <v>77.489999999999995</v>
      </c>
      <c r="L114" s="12">
        <v>20</v>
      </c>
      <c r="M114" s="12">
        <v>2</v>
      </c>
      <c r="N114" s="12">
        <v>76</v>
      </c>
      <c r="O114" s="12" t="s">
        <v>20</v>
      </c>
      <c r="P114" s="12">
        <v>7.77</v>
      </c>
      <c r="Q114" s="12" t="s">
        <v>23</v>
      </c>
    </row>
    <row r="115" spans="1:17" x14ac:dyDescent="0.3">
      <c r="A115" s="12" t="s">
        <v>308</v>
      </c>
      <c r="B115" s="12" t="s">
        <v>309</v>
      </c>
      <c r="C115" s="12" t="s">
        <v>18</v>
      </c>
      <c r="D115" s="12">
        <v>55</v>
      </c>
      <c r="E115" s="12" t="s">
        <v>69</v>
      </c>
      <c r="F115" s="12" t="s">
        <v>16</v>
      </c>
      <c r="G115" s="12" t="s">
        <v>76</v>
      </c>
      <c r="H115" s="12" t="s">
        <v>62</v>
      </c>
      <c r="I115" s="12">
        <v>19</v>
      </c>
      <c r="J115" s="12">
        <v>120000</v>
      </c>
      <c r="K115" s="12">
        <v>65.150000000000006</v>
      </c>
      <c r="L115" s="12">
        <v>20</v>
      </c>
      <c r="M115" s="12">
        <v>27</v>
      </c>
      <c r="N115" s="12">
        <v>63</v>
      </c>
      <c r="O115" s="12" t="s">
        <v>21</v>
      </c>
      <c r="P115" s="12">
        <v>8.2899999999999991</v>
      </c>
      <c r="Q115" s="12" t="s">
        <v>23</v>
      </c>
    </row>
    <row r="116" spans="1:17" x14ac:dyDescent="0.3">
      <c r="A116" s="12" t="s">
        <v>310</v>
      </c>
      <c r="B116" s="12" t="s">
        <v>311</v>
      </c>
      <c r="C116" s="12" t="s">
        <v>19</v>
      </c>
      <c r="D116" s="12">
        <v>55</v>
      </c>
      <c r="E116" s="12" t="s">
        <v>69</v>
      </c>
      <c r="F116" s="12" t="s">
        <v>16</v>
      </c>
      <c r="G116" s="12" t="s">
        <v>271</v>
      </c>
      <c r="H116" s="12" t="s">
        <v>62</v>
      </c>
      <c r="I116" s="12">
        <v>28</v>
      </c>
      <c r="J116" s="12">
        <v>48399</v>
      </c>
      <c r="K116" s="12">
        <v>67.25</v>
      </c>
      <c r="L116" s="12">
        <v>15</v>
      </c>
      <c r="M116" s="12">
        <v>43</v>
      </c>
      <c r="N116" s="12">
        <v>96</v>
      </c>
      <c r="O116" s="12" t="s">
        <v>20</v>
      </c>
      <c r="P116" s="12">
        <v>7.88</v>
      </c>
      <c r="Q116" s="12" t="s">
        <v>23</v>
      </c>
    </row>
    <row r="117" spans="1:17" x14ac:dyDescent="0.3">
      <c r="A117" s="12" t="s">
        <v>312</v>
      </c>
      <c r="B117" s="12" t="s">
        <v>313</v>
      </c>
      <c r="C117" s="12" t="s">
        <v>18</v>
      </c>
      <c r="D117" s="12">
        <v>39</v>
      </c>
      <c r="E117" s="12" t="s">
        <v>55</v>
      </c>
      <c r="F117" s="12" t="s">
        <v>14</v>
      </c>
      <c r="G117" s="12" t="s">
        <v>110</v>
      </c>
      <c r="H117" s="12" t="s">
        <v>62</v>
      </c>
      <c r="I117" s="12">
        <v>10</v>
      </c>
      <c r="J117" s="12">
        <v>133945</v>
      </c>
      <c r="K117" s="12">
        <v>67.989999999999995</v>
      </c>
      <c r="L117" s="12">
        <v>9</v>
      </c>
      <c r="M117" s="12">
        <v>52</v>
      </c>
      <c r="N117" s="12">
        <v>108</v>
      </c>
      <c r="O117" s="12" t="s">
        <v>20</v>
      </c>
      <c r="P117" s="12">
        <v>8.16</v>
      </c>
      <c r="Q117" s="12" t="s">
        <v>23</v>
      </c>
    </row>
    <row r="118" spans="1:17" x14ac:dyDescent="0.3">
      <c r="A118" s="12" t="s">
        <v>314</v>
      </c>
      <c r="B118" s="12" t="s">
        <v>315</v>
      </c>
      <c r="C118" s="12" t="s">
        <v>19</v>
      </c>
      <c r="D118" s="12">
        <v>40</v>
      </c>
      <c r="E118" s="12" t="s">
        <v>65</v>
      </c>
      <c r="F118" s="12" t="s">
        <v>13</v>
      </c>
      <c r="G118" s="12" t="s">
        <v>66</v>
      </c>
      <c r="H118" s="12" t="s">
        <v>86</v>
      </c>
      <c r="I118" s="12">
        <v>14</v>
      </c>
      <c r="J118" s="12">
        <v>83799</v>
      </c>
      <c r="K118" s="12">
        <v>98.55</v>
      </c>
      <c r="L118" s="12">
        <v>11</v>
      </c>
      <c r="M118" s="12">
        <v>35</v>
      </c>
      <c r="N118" s="12">
        <v>72</v>
      </c>
      <c r="O118" s="12" t="s">
        <v>20</v>
      </c>
      <c r="P118" s="12">
        <v>7.92</v>
      </c>
      <c r="Q118" s="12" t="s">
        <v>23</v>
      </c>
    </row>
    <row r="119" spans="1:17" x14ac:dyDescent="0.3">
      <c r="A119" s="12" t="s">
        <v>316</v>
      </c>
      <c r="B119" s="12" t="s">
        <v>317</v>
      </c>
      <c r="C119" s="12" t="s">
        <v>19</v>
      </c>
      <c r="D119" s="12">
        <v>33</v>
      </c>
      <c r="E119" s="12" t="s">
        <v>60</v>
      </c>
      <c r="F119" s="12" t="s">
        <v>17</v>
      </c>
      <c r="G119" s="12" t="s">
        <v>102</v>
      </c>
      <c r="H119" s="12" t="s">
        <v>62</v>
      </c>
      <c r="I119" s="12">
        <v>12</v>
      </c>
      <c r="J119" s="12">
        <v>121967</v>
      </c>
      <c r="K119" s="12">
        <v>69.790000000000006</v>
      </c>
      <c r="L119" s="12">
        <v>13</v>
      </c>
      <c r="M119" s="12">
        <v>2</v>
      </c>
      <c r="N119" s="12">
        <v>48</v>
      </c>
      <c r="O119" s="12" t="s">
        <v>22</v>
      </c>
      <c r="P119" s="12">
        <v>7.35</v>
      </c>
      <c r="Q119" s="12" t="s">
        <v>23</v>
      </c>
    </row>
    <row r="120" spans="1:17" x14ac:dyDescent="0.3">
      <c r="A120" s="12" t="s">
        <v>318</v>
      </c>
      <c r="B120" s="12" t="s">
        <v>319</v>
      </c>
      <c r="C120" s="12" t="s">
        <v>18</v>
      </c>
      <c r="D120" s="12">
        <v>57</v>
      </c>
      <c r="E120" s="12" t="s">
        <v>80</v>
      </c>
      <c r="F120" s="12" t="s">
        <v>17</v>
      </c>
      <c r="G120" s="12" t="s">
        <v>102</v>
      </c>
      <c r="H120" s="12" t="s">
        <v>86</v>
      </c>
      <c r="I120" s="12">
        <v>30</v>
      </c>
      <c r="J120" s="12">
        <v>127077</v>
      </c>
      <c r="K120" s="12">
        <v>79.3</v>
      </c>
      <c r="L120" s="12">
        <v>17</v>
      </c>
      <c r="M120" s="12">
        <v>25</v>
      </c>
      <c r="N120" s="12">
        <v>25</v>
      </c>
      <c r="O120" s="12" t="s">
        <v>21</v>
      </c>
      <c r="P120" s="12">
        <v>9.1</v>
      </c>
      <c r="Q120" s="12" t="s">
        <v>24</v>
      </c>
    </row>
    <row r="121" spans="1:17" x14ac:dyDescent="0.3">
      <c r="A121" s="12" t="s">
        <v>320</v>
      </c>
      <c r="B121" s="12" t="s">
        <v>321</v>
      </c>
      <c r="C121" s="12" t="s">
        <v>18</v>
      </c>
      <c r="D121" s="12">
        <v>26</v>
      </c>
      <c r="E121" s="12" t="s">
        <v>55</v>
      </c>
      <c r="F121" s="12" t="s">
        <v>14</v>
      </c>
      <c r="G121" s="12" t="s">
        <v>110</v>
      </c>
      <c r="H121" s="12" t="s">
        <v>62</v>
      </c>
      <c r="I121" s="12">
        <v>2</v>
      </c>
      <c r="J121" s="12">
        <v>150559</v>
      </c>
      <c r="K121" s="12">
        <v>89.56</v>
      </c>
      <c r="L121" s="12">
        <v>6</v>
      </c>
      <c r="M121" s="12">
        <v>44</v>
      </c>
      <c r="N121" s="12">
        <v>19</v>
      </c>
      <c r="O121" s="12" t="s">
        <v>21</v>
      </c>
      <c r="P121" s="12">
        <v>6.01</v>
      </c>
      <c r="Q121" s="12" t="s">
        <v>23</v>
      </c>
    </row>
    <row r="122" spans="1:17" x14ac:dyDescent="0.3">
      <c r="A122" s="12" t="s">
        <v>322</v>
      </c>
      <c r="B122" s="12" t="s">
        <v>323</v>
      </c>
      <c r="C122" s="12" t="s">
        <v>18</v>
      </c>
      <c r="D122" s="12">
        <v>50</v>
      </c>
      <c r="E122" s="12" t="s">
        <v>69</v>
      </c>
      <c r="F122" s="12" t="s">
        <v>12</v>
      </c>
      <c r="G122" s="12" t="s">
        <v>119</v>
      </c>
      <c r="H122" s="12" t="s">
        <v>86</v>
      </c>
      <c r="I122" s="12">
        <v>11</v>
      </c>
      <c r="J122" s="12">
        <v>111969</v>
      </c>
      <c r="K122" s="12">
        <v>74.95</v>
      </c>
      <c r="L122" s="12">
        <v>19</v>
      </c>
      <c r="M122" s="12">
        <v>25</v>
      </c>
      <c r="N122" s="12">
        <v>21</v>
      </c>
      <c r="O122" s="12" t="s">
        <v>21</v>
      </c>
      <c r="P122" s="12">
        <v>8.11</v>
      </c>
      <c r="Q122" s="12" t="s">
        <v>23</v>
      </c>
    </row>
    <row r="123" spans="1:17" x14ac:dyDescent="0.3">
      <c r="A123" s="12" t="s">
        <v>324</v>
      </c>
      <c r="B123" s="12" t="s">
        <v>325</v>
      </c>
      <c r="C123" s="12" t="s">
        <v>19</v>
      </c>
      <c r="D123" s="12">
        <v>41</v>
      </c>
      <c r="E123" s="12" t="s">
        <v>80</v>
      </c>
      <c r="F123" s="12" t="s">
        <v>16</v>
      </c>
      <c r="G123" s="12" t="s">
        <v>271</v>
      </c>
      <c r="H123" s="12" t="s">
        <v>86</v>
      </c>
      <c r="I123" s="12">
        <v>4</v>
      </c>
      <c r="J123" s="12">
        <v>59501</v>
      </c>
      <c r="K123" s="12">
        <v>66.849999999999994</v>
      </c>
      <c r="L123" s="12">
        <v>17</v>
      </c>
      <c r="M123" s="12">
        <v>1</v>
      </c>
      <c r="N123" s="12">
        <v>84</v>
      </c>
      <c r="O123" s="12" t="s">
        <v>21</v>
      </c>
      <c r="P123" s="12">
        <v>7.5</v>
      </c>
      <c r="Q123" s="12" t="s">
        <v>23</v>
      </c>
    </row>
    <row r="124" spans="1:17" x14ac:dyDescent="0.3">
      <c r="A124" s="12" t="s">
        <v>326</v>
      </c>
      <c r="B124" s="12" t="s">
        <v>327</v>
      </c>
      <c r="C124" s="12" t="s">
        <v>18</v>
      </c>
      <c r="D124" s="12">
        <v>36</v>
      </c>
      <c r="E124" s="12" t="s">
        <v>91</v>
      </c>
      <c r="F124" s="12" t="s">
        <v>12</v>
      </c>
      <c r="G124" s="12" t="s">
        <v>119</v>
      </c>
      <c r="H124" s="12" t="s">
        <v>57</v>
      </c>
      <c r="I124" s="12">
        <v>3</v>
      </c>
      <c r="J124" s="12">
        <v>157536</v>
      </c>
      <c r="K124" s="12">
        <v>72.790000000000006</v>
      </c>
      <c r="L124" s="12">
        <v>6</v>
      </c>
      <c r="M124" s="12">
        <v>60</v>
      </c>
      <c r="N124" s="12">
        <v>85</v>
      </c>
      <c r="O124" s="12" t="s">
        <v>20</v>
      </c>
      <c r="P124" s="12">
        <v>6.93</v>
      </c>
      <c r="Q124" s="12" t="s">
        <v>23</v>
      </c>
    </row>
    <row r="125" spans="1:17" x14ac:dyDescent="0.3">
      <c r="A125" s="12" t="s">
        <v>328</v>
      </c>
      <c r="B125" s="12" t="s">
        <v>329</v>
      </c>
      <c r="C125" s="12" t="s">
        <v>19</v>
      </c>
      <c r="D125" s="12">
        <v>34</v>
      </c>
      <c r="E125" s="12" t="s">
        <v>69</v>
      </c>
      <c r="F125" s="12" t="s">
        <v>12</v>
      </c>
      <c r="G125" s="12" t="s">
        <v>152</v>
      </c>
      <c r="H125" s="12" t="s">
        <v>86</v>
      </c>
      <c r="I125" s="12">
        <v>3</v>
      </c>
      <c r="J125" s="12">
        <v>142693</v>
      </c>
      <c r="K125" s="12">
        <v>77.45</v>
      </c>
      <c r="L125" s="12">
        <v>16</v>
      </c>
      <c r="M125" s="12">
        <v>36</v>
      </c>
      <c r="N125" s="12">
        <v>18</v>
      </c>
      <c r="O125" s="12" t="s">
        <v>22</v>
      </c>
      <c r="P125" s="12">
        <v>6.8</v>
      </c>
      <c r="Q125" s="12" t="s">
        <v>23</v>
      </c>
    </row>
    <row r="126" spans="1:17" x14ac:dyDescent="0.3">
      <c r="A126" s="12" t="s">
        <v>330</v>
      </c>
      <c r="B126" s="12" t="s">
        <v>331</v>
      </c>
      <c r="C126" s="12" t="s">
        <v>19</v>
      </c>
      <c r="D126" s="12">
        <v>25</v>
      </c>
      <c r="E126" s="12" t="s">
        <v>55</v>
      </c>
      <c r="F126" s="12" t="s">
        <v>13</v>
      </c>
      <c r="G126" s="12" t="s">
        <v>66</v>
      </c>
      <c r="H126" s="12" t="s">
        <v>77</v>
      </c>
      <c r="I126" s="12">
        <v>4</v>
      </c>
      <c r="J126" s="12">
        <v>90173</v>
      </c>
      <c r="K126" s="12">
        <v>87.79</v>
      </c>
      <c r="L126" s="12">
        <v>7</v>
      </c>
      <c r="M126" s="12">
        <v>55</v>
      </c>
      <c r="N126" s="12">
        <v>91</v>
      </c>
      <c r="O126" s="12" t="s">
        <v>20</v>
      </c>
      <c r="P126" s="12">
        <v>6.82</v>
      </c>
      <c r="Q126" s="12" t="s">
        <v>23</v>
      </c>
    </row>
    <row r="127" spans="1:17" x14ac:dyDescent="0.3">
      <c r="A127" s="12" t="s">
        <v>332</v>
      </c>
      <c r="B127" s="12" t="s">
        <v>333</v>
      </c>
      <c r="C127" s="12" t="s">
        <v>18</v>
      </c>
      <c r="D127" s="12">
        <v>43</v>
      </c>
      <c r="E127" s="12" t="s">
        <v>91</v>
      </c>
      <c r="F127" s="12" t="s">
        <v>17</v>
      </c>
      <c r="G127" s="12" t="s">
        <v>99</v>
      </c>
      <c r="H127" s="12" t="s">
        <v>86</v>
      </c>
      <c r="I127" s="12">
        <v>7</v>
      </c>
      <c r="J127" s="12">
        <v>105356</v>
      </c>
      <c r="K127" s="12">
        <v>99.68</v>
      </c>
      <c r="L127" s="12">
        <v>15</v>
      </c>
      <c r="M127" s="12">
        <v>27</v>
      </c>
      <c r="N127" s="12">
        <v>24</v>
      </c>
      <c r="O127" s="12" t="s">
        <v>20</v>
      </c>
      <c r="P127" s="12">
        <v>7.76</v>
      </c>
      <c r="Q127" s="12" t="s">
        <v>23</v>
      </c>
    </row>
    <row r="128" spans="1:17" x14ac:dyDescent="0.3">
      <c r="A128" s="12" t="s">
        <v>334</v>
      </c>
      <c r="B128" s="12" t="s">
        <v>335</v>
      </c>
      <c r="C128" s="12" t="s">
        <v>19</v>
      </c>
      <c r="D128" s="12">
        <v>58</v>
      </c>
      <c r="E128" s="12" t="s">
        <v>65</v>
      </c>
      <c r="F128" s="12" t="s">
        <v>12</v>
      </c>
      <c r="G128" s="12" t="s">
        <v>92</v>
      </c>
      <c r="H128" s="12" t="s">
        <v>57</v>
      </c>
      <c r="I128" s="12">
        <v>29</v>
      </c>
      <c r="J128" s="12">
        <v>89090</v>
      </c>
      <c r="K128" s="12">
        <v>87.36</v>
      </c>
      <c r="L128" s="12">
        <v>16</v>
      </c>
      <c r="M128" s="12">
        <v>13</v>
      </c>
      <c r="N128" s="12">
        <v>72</v>
      </c>
      <c r="O128" s="12" t="s">
        <v>20</v>
      </c>
      <c r="P128" s="12">
        <v>9.24</v>
      </c>
      <c r="Q128" s="12" t="s">
        <v>24</v>
      </c>
    </row>
    <row r="129" spans="1:17" x14ac:dyDescent="0.3">
      <c r="A129" s="12" t="s">
        <v>336</v>
      </c>
      <c r="B129" s="12" t="s">
        <v>337</v>
      </c>
      <c r="C129" s="12" t="s">
        <v>19</v>
      </c>
      <c r="D129" s="12">
        <v>29</v>
      </c>
      <c r="E129" s="12" t="s">
        <v>65</v>
      </c>
      <c r="F129" s="12" t="s">
        <v>14</v>
      </c>
      <c r="G129" s="12" t="s">
        <v>70</v>
      </c>
      <c r="H129" s="12" t="s">
        <v>62</v>
      </c>
      <c r="I129" s="12">
        <v>8</v>
      </c>
      <c r="J129" s="12">
        <v>69720</v>
      </c>
      <c r="K129" s="12">
        <v>82.82</v>
      </c>
      <c r="L129" s="12">
        <v>1</v>
      </c>
      <c r="M129" s="12">
        <v>19</v>
      </c>
      <c r="N129" s="12">
        <v>94</v>
      </c>
      <c r="O129" s="12" t="s">
        <v>22</v>
      </c>
      <c r="P129" s="12">
        <v>6.76</v>
      </c>
      <c r="Q129" s="12" t="s">
        <v>23</v>
      </c>
    </row>
    <row r="130" spans="1:17" x14ac:dyDescent="0.3">
      <c r="A130" s="12" t="s">
        <v>338</v>
      </c>
      <c r="B130" s="12" t="s">
        <v>339</v>
      </c>
      <c r="C130" s="12" t="s">
        <v>18</v>
      </c>
      <c r="D130" s="12">
        <v>46</v>
      </c>
      <c r="E130" s="12" t="s">
        <v>55</v>
      </c>
      <c r="F130" s="12" t="s">
        <v>14</v>
      </c>
      <c r="G130" s="12" t="s">
        <v>248</v>
      </c>
      <c r="H130" s="12" t="s">
        <v>57</v>
      </c>
      <c r="I130" s="12">
        <v>12</v>
      </c>
      <c r="J130" s="12">
        <v>107227</v>
      </c>
      <c r="K130" s="12">
        <v>94.82</v>
      </c>
      <c r="L130" s="12">
        <v>12</v>
      </c>
      <c r="M130" s="12">
        <v>44</v>
      </c>
      <c r="N130" s="12">
        <v>67</v>
      </c>
      <c r="O130" s="12" t="s">
        <v>20</v>
      </c>
      <c r="P130" s="12">
        <v>8.49</v>
      </c>
      <c r="Q130" s="12" t="s">
        <v>23</v>
      </c>
    </row>
    <row r="131" spans="1:17" x14ac:dyDescent="0.3">
      <c r="A131" s="12" t="s">
        <v>340</v>
      </c>
      <c r="B131" s="12" t="s">
        <v>341</v>
      </c>
      <c r="C131" s="12" t="s">
        <v>18</v>
      </c>
      <c r="D131" s="12">
        <v>27</v>
      </c>
      <c r="E131" s="12" t="s">
        <v>80</v>
      </c>
      <c r="F131" s="12" t="s">
        <v>13</v>
      </c>
      <c r="G131" s="12" t="s">
        <v>66</v>
      </c>
      <c r="H131" s="12" t="s">
        <v>62</v>
      </c>
      <c r="I131" s="12">
        <v>5</v>
      </c>
      <c r="J131" s="12">
        <v>48508</v>
      </c>
      <c r="K131" s="12">
        <v>94.16</v>
      </c>
      <c r="L131" s="12">
        <v>15</v>
      </c>
      <c r="M131" s="12">
        <v>15</v>
      </c>
      <c r="N131" s="12">
        <v>53</v>
      </c>
      <c r="O131" s="12" t="s">
        <v>22</v>
      </c>
      <c r="P131" s="12">
        <v>7.59</v>
      </c>
      <c r="Q131" s="12" t="s">
        <v>23</v>
      </c>
    </row>
    <row r="132" spans="1:17" x14ac:dyDescent="0.3">
      <c r="A132" s="12" t="s">
        <v>342</v>
      </c>
      <c r="B132" s="12" t="s">
        <v>343</v>
      </c>
      <c r="C132" s="12" t="s">
        <v>18</v>
      </c>
      <c r="D132" s="12">
        <v>38</v>
      </c>
      <c r="E132" s="12" t="s">
        <v>55</v>
      </c>
      <c r="F132" s="12" t="s">
        <v>17</v>
      </c>
      <c r="G132" s="12" t="s">
        <v>135</v>
      </c>
      <c r="H132" s="12" t="s">
        <v>62</v>
      </c>
      <c r="I132" s="12">
        <v>6</v>
      </c>
      <c r="J132" s="12">
        <v>107896</v>
      </c>
      <c r="K132" s="12">
        <v>65.14</v>
      </c>
      <c r="L132" s="12">
        <v>12</v>
      </c>
      <c r="M132" s="12">
        <v>17</v>
      </c>
      <c r="N132" s="12">
        <v>29</v>
      </c>
      <c r="O132" s="12" t="s">
        <v>22</v>
      </c>
      <c r="P132" s="12">
        <v>6.97</v>
      </c>
      <c r="Q132" s="12" t="s">
        <v>23</v>
      </c>
    </row>
    <row r="133" spans="1:17" x14ac:dyDescent="0.3">
      <c r="A133" s="12" t="s">
        <v>344</v>
      </c>
      <c r="B133" s="12" t="s">
        <v>345</v>
      </c>
      <c r="C133" s="12" t="s">
        <v>18</v>
      </c>
      <c r="D133" s="12">
        <v>27</v>
      </c>
      <c r="E133" s="12" t="s">
        <v>55</v>
      </c>
      <c r="F133" s="12" t="s">
        <v>16</v>
      </c>
      <c r="G133" s="12" t="s">
        <v>271</v>
      </c>
      <c r="H133" s="12" t="s">
        <v>86</v>
      </c>
      <c r="I133" s="12">
        <v>1</v>
      </c>
      <c r="J133" s="12">
        <v>73416</v>
      </c>
      <c r="K133" s="12">
        <v>94.22</v>
      </c>
      <c r="L133" s="12">
        <v>18</v>
      </c>
      <c r="M133" s="12">
        <v>22</v>
      </c>
      <c r="N133" s="12">
        <v>62</v>
      </c>
      <c r="O133" s="12" t="s">
        <v>20</v>
      </c>
      <c r="P133" s="12">
        <v>7.74</v>
      </c>
      <c r="Q133" s="12" t="s">
        <v>23</v>
      </c>
    </row>
    <row r="134" spans="1:17" x14ac:dyDescent="0.3">
      <c r="A134" s="12" t="s">
        <v>346</v>
      </c>
      <c r="B134" s="12" t="s">
        <v>347</v>
      </c>
      <c r="C134" s="12" t="s">
        <v>19</v>
      </c>
      <c r="D134" s="12">
        <v>57</v>
      </c>
      <c r="E134" s="12" t="s">
        <v>80</v>
      </c>
      <c r="F134" s="12" t="s">
        <v>17</v>
      </c>
      <c r="G134" s="12" t="s">
        <v>135</v>
      </c>
      <c r="H134" s="12" t="s">
        <v>57</v>
      </c>
      <c r="I134" s="12">
        <v>25</v>
      </c>
      <c r="J134" s="12">
        <v>112582</v>
      </c>
      <c r="K134" s="12">
        <v>75.930000000000007</v>
      </c>
      <c r="L134" s="12">
        <v>15</v>
      </c>
      <c r="M134" s="12">
        <v>2</v>
      </c>
      <c r="N134" s="12">
        <v>27</v>
      </c>
      <c r="O134" s="12" t="s">
        <v>22</v>
      </c>
      <c r="P134" s="12">
        <v>7.71</v>
      </c>
      <c r="Q134" s="12" t="s">
        <v>23</v>
      </c>
    </row>
    <row r="135" spans="1:17" x14ac:dyDescent="0.3">
      <c r="A135" s="12" t="s">
        <v>348</v>
      </c>
      <c r="B135" s="12" t="s">
        <v>349</v>
      </c>
      <c r="C135" s="12" t="s">
        <v>19</v>
      </c>
      <c r="D135" s="12">
        <v>41</v>
      </c>
      <c r="E135" s="12" t="s">
        <v>69</v>
      </c>
      <c r="F135" s="12" t="s">
        <v>17</v>
      </c>
      <c r="G135" s="12" t="s">
        <v>135</v>
      </c>
      <c r="H135" s="12" t="s">
        <v>57</v>
      </c>
      <c r="I135" s="12">
        <v>12</v>
      </c>
      <c r="J135" s="12">
        <v>126032</v>
      </c>
      <c r="K135" s="12">
        <v>95.45</v>
      </c>
      <c r="L135" s="12">
        <v>13</v>
      </c>
      <c r="M135" s="12">
        <v>11</v>
      </c>
      <c r="N135" s="12">
        <v>16</v>
      </c>
      <c r="O135" s="12" t="s">
        <v>20</v>
      </c>
      <c r="P135" s="12">
        <v>7.52</v>
      </c>
      <c r="Q135" s="12" t="s">
        <v>23</v>
      </c>
    </row>
    <row r="136" spans="1:17" x14ac:dyDescent="0.3">
      <c r="A136" s="12" t="s">
        <v>350</v>
      </c>
      <c r="B136" s="12" t="s">
        <v>351</v>
      </c>
      <c r="C136" s="12" t="s">
        <v>18</v>
      </c>
      <c r="D136" s="12">
        <v>50</v>
      </c>
      <c r="E136" s="12" t="s">
        <v>65</v>
      </c>
      <c r="F136" s="12" t="s">
        <v>12</v>
      </c>
      <c r="G136" s="12" t="s">
        <v>92</v>
      </c>
      <c r="H136" s="12" t="s">
        <v>57</v>
      </c>
      <c r="I136" s="12">
        <v>2</v>
      </c>
      <c r="J136" s="12">
        <v>52899</v>
      </c>
      <c r="K136" s="12">
        <v>90.4</v>
      </c>
      <c r="L136" s="12">
        <v>16</v>
      </c>
      <c r="M136" s="12">
        <v>14</v>
      </c>
      <c r="N136" s="12">
        <v>71</v>
      </c>
      <c r="O136" s="12" t="s">
        <v>21</v>
      </c>
      <c r="P136" s="12">
        <v>8.9600000000000009</v>
      </c>
      <c r="Q136" s="12" t="s">
        <v>23</v>
      </c>
    </row>
    <row r="137" spans="1:17" x14ac:dyDescent="0.3">
      <c r="A137" s="12" t="s">
        <v>352</v>
      </c>
      <c r="B137" s="12" t="s">
        <v>353</v>
      </c>
      <c r="C137" s="12" t="s">
        <v>18</v>
      </c>
      <c r="D137" s="12">
        <v>34</v>
      </c>
      <c r="E137" s="12" t="s">
        <v>60</v>
      </c>
      <c r="F137" s="12" t="s">
        <v>13</v>
      </c>
      <c r="G137" s="12" t="s">
        <v>107</v>
      </c>
      <c r="H137" s="12" t="s">
        <v>62</v>
      </c>
      <c r="I137" s="12">
        <v>1</v>
      </c>
      <c r="J137" s="12">
        <v>70788</v>
      </c>
      <c r="K137" s="12">
        <v>82.9</v>
      </c>
      <c r="L137" s="12">
        <v>17</v>
      </c>
      <c r="M137" s="12">
        <v>44</v>
      </c>
      <c r="N137" s="12">
        <v>77</v>
      </c>
      <c r="O137" s="12" t="s">
        <v>22</v>
      </c>
      <c r="P137" s="12">
        <v>7.96</v>
      </c>
      <c r="Q137" s="12" t="s">
        <v>23</v>
      </c>
    </row>
    <row r="138" spans="1:17" x14ac:dyDescent="0.3">
      <c r="A138" s="12" t="s">
        <v>354</v>
      </c>
      <c r="B138" s="12" t="s">
        <v>355</v>
      </c>
      <c r="C138" s="12" t="s">
        <v>19</v>
      </c>
      <c r="D138" s="12">
        <v>47</v>
      </c>
      <c r="E138" s="12" t="s">
        <v>69</v>
      </c>
      <c r="F138" s="12" t="s">
        <v>12</v>
      </c>
      <c r="G138" s="12" t="s">
        <v>92</v>
      </c>
      <c r="H138" s="12" t="s">
        <v>77</v>
      </c>
      <c r="I138" s="12">
        <v>25</v>
      </c>
      <c r="J138" s="12">
        <v>100029</v>
      </c>
      <c r="K138" s="12">
        <v>98.84</v>
      </c>
      <c r="L138" s="12">
        <v>2</v>
      </c>
      <c r="M138" s="12">
        <v>57</v>
      </c>
      <c r="N138" s="12">
        <v>75</v>
      </c>
      <c r="O138" s="12" t="s">
        <v>21</v>
      </c>
      <c r="P138" s="12">
        <v>7.79</v>
      </c>
      <c r="Q138" s="12" t="s">
        <v>23</v>
      </c>
    </row>
    <row r="139" spans="1:17" x14ac:dyDescent="0.3">
      <c r="A139" s="12" t="s">
        <v>356</v>
      </c>
      <c r="B139" s="12" t="s">
        <v>357</v>
      </c>
      <c r="C139" s="12" t="s">
        <v>18</v>
      </c>
      <c r="D139" s="12">
        <v>52</v>
      </c>
      <c r="E139" s="12" t="s">
        <v>65</v>
      </c>
      <c r="F139" s="12" t="s">
        <v>13</v>
      </c>
      <c r="G139" s="12" t="s">
        <v>107</v>
      </c>
      <c r="H139" s="12" t="s">
        <v>57</v>
      </c>
      <c r="I139" s="12">
        <v>18</v>
      </c>
      <c r="J139" s="12">
        <v>46055</v>
      </c>
      <c r="K139" s="12">
        <v>97.38</v>
      </c>
      <c r="L139" s="12">
        <v>8</v>
      </c>
      <c r="M139" s="12">
        <v>7</v>
      </c>
      <c r="N139" s="12">
        <v>36</v>
      </c>
      <c r="O139" s="12" t="s">
        <v>20</v>
      </c>
      <c r="P139" s="12">
        <v>8.31</v>
      </c>
      <c r="Q139" s="12" t="s">
        <v>23</v>
      </c>
    </row>
    <row r="140" spans="1:17" x14ac:dyDescent="0.3">
      <c r="A140" s="12" t="s">
        <v>358</v>
      </c>
      <c r="B140" s="12" t="s">
        <v>359</v>
      </c>
      <c r="C140" s="12" t="s">
        <v>18</v>
      </c>
      <c r="D140" s="12">
        <v>53</v>
      </c>
      <c r="E140" s="12" t="s">
        <v>60</v>
      </c>
      <c r="F140" s="12" t="s">
        <v>13</v>
      </c>
      <c r="G140" s="12" t="s">
        <v>66</v>
      </c>
      <c r="H140" s="12" t="s">
        <v>57</v>
      </c>
      <c r="I140" s="12">
        <v>20</v>
      </c>
      <c r="J140" s="12">
        <v>98761</v>
      </c>
      <c r="K140" s="12">
        <v>92.94</v>
      </c>
      <c r="L140" s="12">
        <v>7</v>
      </c>
      <c r="M140" s="12">
        <v>55</v>
      </c>
      <c r="N140" s="12">
        <v>56</v>
      </c>
      <c r="O140" s="12" t="s">
        <v>21</v>
      </c>
      <c r="P140" s="12">
        <v>6.68</v>
      </c>
      <c r="Q140" s="12" t="s">
        <v>23</v>
      </c>
    </row>
    <row r="141" spans="1:17" x14ac:dyDescent="0.3">
      <c r="A141" s="12" t="s">
        <v>360</v>
      </c>
      <c r="B141" s="12" t="s">
        <v>361</v>
      </c>
      <c r="C141" s="12" t="s">
        <v>19</v>
      </c>
      <c r="D141" s="12">
        <v>38</v>
      </c>
      <c r="E141" s="12" t="s">
        <v>69</v>
      </c>
      <c r="F141" s="12" t="s">
        <v>15</v>
      </c>
      <c r="G141" s="12" t="s">
        <v>61</v>
      </c>
      <c r="H141" s="12" t="s">
        <v>86</v>
      </c>
      <c r="I141" s="12">
        <v>15</v>
      </c>
      <c r="J141" s="12">
        <v>118014</v>
      </c>
      <c r="K141" s="12">
        <v>83.52</v>
      </c>
      <c r="L141" s="12">
        <v>20</v>
      </c>
      <c r="M141" s="12">
        <v>18</v>
      </c>
      <c r="N141" s="12">
        <v>39</v>
      </c>
      <c r="O141" s="12" t="s">
        <v>21</v>
      </c>
      <c r="P141" s="12">
        <v>9</v>
      </c>
      <c r="Q141" s="12" t="s">
        <v>24</v>
      </c>
    </row>
    <row r="142" spans="1:17" x14ac:dyDescent="0.3">
      <c r="A142" s="12" t="s">
        <v>362</v>
      </c>
      <c r="B142" s="12" t="s">
        <v>363</v>
      </c>
      <c r="C142" s="12" t="s">
        <v>19</v>
      </c>
      <c r="D142" s="12">
        <v>46</v>
      </c>
      <c r="E142" s="12" t="s">
        <v>69</v>
      </c>
      <c r="F142" s="12" t="s">
        <v>16</v>
      </c>
      <c r="G142" s="12" t="s">
        <v>271</v>
      </c>
      <c r="H142" s="12" t="s">
        <v>86</v>
      </c>
      <c r="I142" s="12">
        <v>19</v>
      </c>
      <c r="J142" s="12">
        <v>92746</v>
      </c>
      <c r="K142" s="12">
        <v>72.17</v>
      </c>
      <c r="L142" s="12">
        <v>7</v>
      </c>
      <c r="M142" s="12">
        <v>39</v>
      </c>
      <c r="N142" s="12">
        <v>55</v>
      </c>
      <c r="O142" s="12" t="s">
        <v>22</v>
      </c>
      <c r="P142" s="12">
        <v>7.39</v>
      </c>
      <c r="Q142" s="12" t="s">
        <v>23</v>
      </c>
    </row>
    <row r="143" spans="1:17" x14ac:dyDescent="0.3">
      <c r="A143" s="12" t="s">
        <v>364</v>
      </c>
      <c r="B143" s="12" t="s">
        <v>365</v>
      </c>
      <c r="C143" s="12" t="s">
        <v>18</v>
      </c>
      <c r="D143" s="12">
        <v>58</v>
      </c>
      <c r="E143" s="12" t="s">
        <v>80</v>
      </c>
      <c r="F143" s="12" t="s">
        <v>16</v>
      </c>
      <c r="G143" s="12" t="s">
        <v>76</v>
      </c>
      <c r="H143" s="12" t="s">
        <v>62</v>
      </c>
      <c r="I143" s="12">
        <v>28</v>
      </c>
      <c r="J143" s="12">
        <v>112755</v>
      </c>
      <c r="K143" s="12">
        <v>71.03</v>
      </c>
      <c r="L143" s="12">
        <v>15</v>
      </c>
      <c r="M143" s="12">
        <v>3</v>
      </c>
      <c r="N143" s="12">
        <v>10</v>
      </c>
      <c r="O143" s="12" t="s">
        <v>22</v>
      </c>
      <c r="P143" s="12">
        <v>7.92</v>
      </c>
      <c r="Q143" s="12" t="s">
        <v>23</v>
      </c>
    </row>
    <row r="144" spans="1:17" x14ac:dyDescent="0.3">
      <c r="A144" s="12" t="s">
        <v>366</v>
      </c>
      <c r="B144" s="12" t="s">
        <v>367</v>
      </c>
      <c r="C144" s="12" t="s">
        <v>19</v>
      </c>
      <c r="D144" s="12">
        <v>39</v>
      </c>
      <c r="E144" s="12" t="s">
        <v>55</v>
      </c>
      <c r="F144" s="12" t="s">
        <v>13</v>
      </c>
      <c r="G144" s="12" t="s">
        <v>66</v>
      </c>
      <c r="H144" s="12" t="s">
        <v>77</v>
      </c>
      <c r="I144" s="12">
        <v>8</v>
      </c>
      <c r="J144" s="12">
        <v>53885</v>
      </c>
      <c r="K144" s="12">
        <v>69.03</v>
      </c>
      <c r="L144" s="12">
        <v>17</v>
      </c>
      <c r="M144" s="12">
        <v>13</v>
      </c>
      <c r="N144" s="12">
        <v>45</v>
      </c>
      <c r="O144" s="12" t="s">
        <v>22</v>
      </c>
      <c r="P144" s="12">
        <v>7.65</v>
      </c>
      <c r="Q144" s="12" t="s">
        <v>23</v>
      </c>
    </row>
    <row r="145" spans="1:17" x14ac:dyDescent="0.3">
      <c r="A145" s="12" t="s">
        <v>368</v>
      </c>
      <c r="B145" s="12" t="s">
        <v>369</v>
      </c>
      <c r="C145" s="12" t="s">
        <v>18</v>
      </c>
      <c r="D145" s="12">
        <v>38</v>
      </c>
      <c r="E145" s="12" t="s">
        <v>80</v>
      </c>
      <c r="F145" s="12" t="s">
        <v>16</v>
      </c>
      <c r="G145" s="12" t="s">
        <v>271</v>
      </c>
      <c r="H145" s="12" t="s">
        <v>77</v>
      </c>
      <c r="I145" s="12">
        <v>1</v>
      </c>
      <c r="J145" s="12">
        <v>43741</v>
      </c>
      <c r="K145" s="12">
        <v>81.33</v>
      </c>
      <c r="L145" s="12">
        <v>9</v>
      </c>
      <c r="M145" s="12">
        <v>45</v>
      </c>
      <c r="N145" s="12">
        <v>92</v>
      </c>
      <c r="O145" s="12" t="s">
        <v>22</v>
      </c>
      <c r="P145" s="12">
        <v>7.86</v>
      </c>
      <c r="Q145" s="12" t="s">
        <v>23</v>
      </c>
    </row>
    <row r="146" spans="1:17" x14ac:dyDescent="0.3">
      <c r="A146" s="12" t="s">
        <v>370</v>
      </c>
      <c r="B146" s="12" t="s">
        <v>371</v>
      </c>
      <c r="C146" s="12" t="s">
        <v>18</v>
      </c>
      <c r="D146" s="12">
        <v>52</v>
      </c>
      <c r="E146" s="12" t="s">
        <v>60</v>
      </c>
      <c r="F146" s="12" t="s">
        <v>16</v>
      </c>
      <c r="G146" s="12" t="s">
        <v>271</v>
      </c>
      <c r="H146" s="12" t="s">
        <v>62</v>
      </c>
      <c r="I146" s="12">
        <v>31</v>
      </c>
      <c r="J146" s="12">
        <v>36318</v>
      </c>
      <c r="K146" s="12">
        <v>92.52</v>
      </c>
      <c r="L146" s="12">
        <v>5</v>
      </c>
      <c r="M146" s="12">
        <v>23</v>
      </c>
      <c r="N146" s="12">
        <v>50</v>
      </c>
      <c r="O146" s="12" t="s">
        <v>21</v>
      </c>
      <c r="P146" s="12">
        <v>7.48</v>
      </c>
      <c r="Q146" s="12" t="s">
        <v>23</v>
      </c>
    </row>
    <row r="147" spans="1:17" x14ac:dyDescent="0.3">
      <c r="A147" s="12" t="s">
        <v>372</v>
      </c>
      <c r="B147" s="12" t="s">
        <v>373</v>
      </c>
      <c r="C147" s="12" t="s">
        <v>19</v>
      </c>
      <c r="D147" s="12">
        <v>53</v>
      </c>
      <c r="E147" s="12" t="s">
        <v>91</v>
      </c>
      <c r="F147" s="12" t="s">
        <v>14</v>
      </c>
      <c r="G147" s="12" t="s">
        <v>70</v>
      </c>
      <c r="H147" s="12" t="s">
        <v>86</v>
      </c>
      <c r="I147" s="12">
        <v>21</v>
      </c>
      <c r="J147" s="12">
        <v>151100</v>
      </c>
      <c r="K147" s="12">
        <v>86.25</v>
      </c>
      <c r="L147" s="12">
        <v>15</v>
      </c>
      <c r="M147" s="12">
        <v>18</v>
      </c>
      <c r="N147" s="12">
        <v>9</v>
      </c>
      <c r="O147" s="12" t="s">
        <v>22</v>
      </c>
      <c r="P147" s="12">
        <v>7.62</v>
      </c>
      <c r="Q147" s="12" t="s">
        <v>23</v>
      </c>
    </row>
    <row r="148" spans="1:17" x14ac:dyDescent="0.3">
      <c r="A148" s="12" t="s">
        <v>374</v>
      </c>
      <c r="B148" s="12" t="s">
        <v>375</v>
      </c>
      <c r="C148" s="12" t="s">
        <v>19</v>
      </c>
      <c r="D148" s="12">
        <v>28</v>
      </c>
      <c r="E148" s="12" t="s">
        <v>91</v>
      </c>
      <c r="F148" s="12" t="s">
        <v>17</v>
      </c>
      <c r="G148" s="12" t="s">
        <v>102</v>
      </c>
      <c r="H148" s="12" t="s">
        <v>57</v>
      </c>
      <c r="I148" s="12">
        <v>5</v>
      </c>
      <c r="J148" s="12">
        <v>74387</v>
      </c>
      <c r="K148" s="12">
        <v>70.150000000000006</v>
      </c>
      <c r="L148" s="12">
        <v>8</v>
      </c>
      <c r="M148" s="12">
        <v>52</v>
      </c>
      <c r="N148" s="12">
        <v>113</v>
      </c>
      <c r="O148" s="12" t="s">
        <v>20</v>
      </c>
      <c r="P148" s="12">
        <v>6.1</v>
      </c>
      <c r="Q148" s="12" t="s">
        <v>23</v>
      </c>
    </row>
    <row r="149" spans="1:17" x14ac:dyDescent="0.3">
      <c r="A149" s="12" t="s">
        <v>376</v>
      </c>
      <c r="B149" s="12" t="s">
        <v>377</v>
      </c>
      <c r="C149" s="12" t="s">
        <v>18</v>
      </c>
      <c r="D149" s="12">
        <v>54</v>
      </c>
      <c r="E149" s="12" t="s">
        <v>60</v>
      </c>
      <c r="F149" s="12" t="s">
        <v>14</v>
      </c>
      <c r="G149" s="12" t="s">
        <v>85</v>
      </c>
      <c r="H149" s="12" t="s">
        <v>77</v>
      </c>
      <c r="I149" s="12">
        <v>6</v>
      </c>
      <c r="J149" s="12">
        <v>77789</v>
      </c>
      <c r="K149" s="12">
        <v>80.89</v>
      </c>
      <c r="L149" s="12">
        <v>4</v>
      </c>
      <c r="M149" s="12">
        <v>37</v>
      </c>
      <c r="N149" s="12">
        <v>70</v>
      </c>
      <c r="O149" s="12" t="s">
        <v>22</v>
      </c>
      <c r="P149" s="12">
        <v>6.54</v>
      </c>
      <c r="Q149" s="12" t="s">
        <v>23</v>
      </c>
    </row>
    <row r="150" spans="1:17" x14ac:dyDescent="0.3">
      <c r="A150" s="12" t="s">
        <v>378</v>
      </c>
      <c r="B150" s="12" t="s">
        <v>379</v>
      </c>
      <c r="C150" s="12" t="s">
        <v>18</v>
      </c>
      <c r="D150" s="12">
        <v>24</v>
      </c>
      <c r="E150" s="12" t="s">
        <v>55</v>
      </c>
      <c r="F150" s="12" t="s">
        <v>16</v>
      </c>
      <c r="G150" s="12" t="s">
        <v>76</v>
      </c>
      <c r="H150" s="12" t="s">
        <v>77</v>
      </c>
      <c r="I150" s="12">
        <v>1</v>
      </c>
      <c r="J150" s="12">
        <v>101526</v>
      </c>
      <c r="K150" s="12">
        <v>80.58</v>
      </c>
      <c r="L150" s="12">
        <v>16</v>
      </c>
      <c r="M150" s="12">
        <v>47</v>
      </c>
      <c r="N150" s="12">
        <v>29</v>
      </c>
      <c r="O150" s="12" t="s">
        <v>21</v>
      </c>
      <c r="P150" s="12">
        <v>6.37</v>
      </c>
      <c r="Q150" s="12" t="s">
        <v>23</v>
      </c>
    </row>
    <row r="151" spans="1:17" x14ac:dyDescent="0.3">
      <c r="A151" s="12" t="s">
        <v>380</v>
      </c>
      <c r="B151" s="12" t="s">
        <v>381</v>
      </c>
      <c r="C151" s="12" t="s">
        <v>18</v>
      </c>
      <c r="D151" s="12">
        <v>22</v>
      </c>
      <c r="E151" s="12" t="s">
        <v>69</v>
      </c>
      <c r="F151" s="12" t="s">
        <v>16</v>
      </c>
      <c r="G151" s="12" t="s">
        <v>181</v>
      </c>
      <c r="H151" s="12" t="s">
        <v>77</v>
      </c>
      <c r="I151" s="12">
        <v>0</v>
      </c>
      <c r="J151" s="12">
        <v>113303</v>
      </c>
      <c r="K151" s="12">
        <v>84.89</v>
      </c>
      <c r="L151" s="12">
        <v>13</v>
      </c>
      <c r="M151" s="12">
        <v>38</v>
      </c>
      <c r="N151" s="12">
        <v>5</v>
      </c>
      <c r="O151" s="12" t="s">
        <v>21</v>
      </c>
      <c r="P151" s="12">
        <v>6.86</v>
      </c>
      <c r="Q151" s="12" t="s">
        <v>23</v>
      </c>
    </row>
    <row r="152" spans="1:17" x14ac:dyDescent="0.3">
      <c r="A152" s="12" t="s">
        <v>382</v>
      </c>
      <c r="B152" s="12" t="s">
        <v>383</v>
      </c>
      <c r="C152" s="12" t="s">
        <v>18</v>
      </c>
      <c r="D152" s="12">
        <v>33</v>
      </c>
      <c r="E152" s="12" t="s">
        <v>60</v>
      </c>
      <c r="F152" s="12" t="s">
        <v>16</v>
      </c>
      <c r="G152" s="12" t="s">
        <v>76</v>
      </c>
      <c r="H152" s="12" t="s">
        <v>57</v>
      </c>
      <c r="I152" s="12">
        <v>8</v>
      </c>
      <c r="J152" s="12">
        <v>81129</v>
      </c>
      <c r="K152" s="12">
        <v>79.77</v>
      </c>
      <c r="L152" s="12">
        <v>1</v>
      </c>
      <c r="M152" s="12">
        <v>58</v>
      </c>
      <c r="N152" s="12">
        <v>88</v>
      </c>
      <c r="O152" s="12" t="s">
        <v>21</v>
      </c>
      <c r="P152" s="12">
        <v>6.87</v>
      </c>
      <c r="Q152" s="12" t="s">
        <v>23</v>
      </c>
    </row>
    <row r="153" spans="1:17" x14ac:dyDescent="0.3">
      <c r="A153" s="12" t="s">
        <v>384</v>
      </c>
      <c r="B153" s="12" t="s">
        <v>385</v>
      </c>
      <c r="C153" s="12" t="s">
        <v>19</v>
      </c>
      <c r="D153" s="12">
        <v>35</v>
      </c>
      <c r="E153" s="12" t="s">
        <v>91</v>
      </c>
      <c r="F153" s="12" t="s">
        <v>17</v>
      </c>
      <c r="G153" s="12" t="s">
        <v>102</v>
      </c>
      <c r="H153" s="12" t="s">
        <v>86</v>
      </c>
      <c r="I153" s="12">
        <v>6</v>
      </c>
      <c r="J153" s="12">
        <v>87326</v>
      </c>
      <c r="K153" s="12">
        <v>70.2</v>
      </c>
      <c r="L153" s="12">
        <v>12</v>
      </c>
      <c r="M153" s="12">
        <v>5</v>
      </c>
      <c r="N153" s="12">
        <v>92</v>
      </c>
      <c r="O153" s="12" t="s">
        <v>21</v>
      </c>
      <c r="P153" s="12">
        <v>8.3000000000000007</v>
      </c>
      <c r="Q153" s="12" t="s">
        <v>23</v>
      </c>
    </row>
    <row r="154" spans="1:17" x14ac:dyDescent="0.3">
      <c r="A154" s="12" t="s">
        <v>386</v>
      </c>
      <c r="B154" s="12" t="s">
        <v>387</v>
      </c>
      <c r="C154" s="12" t="s">
        <v>19</v>
      </c>
      <c r="D154" s="12">
        <v>22</v>
      </c>
      <c r="E154" s="12" t="s">
        <v>69</v>
      </c>
      <c r="F154" s="12" t="s">
        <v>17</v>
      </c>
      <c r="G154" s="12" t="s">
        <v>102</v>
      </c>
      <c r="H154" s="12" t="s">
        <v>86</v>
      </c>
      <c r="I154" s="12">
        <v>1</v>
      </c>
      <c r="J154" s="12">
        <v>56763</v>
      </c>
      <c r="K154" s="12">
        <v>71.31</v>
      </c>
      <c r="L154" s="12">
        <v>7</v>
      </c>
      <c r="M154" s="12">
        <v>4</v>
      </c>
      <c r="N154" s="12">
        <v>114</v>
      </c>
      <c r="O154" s="12" t="s">
        <v>21</v>
      </c>
      <c r="P154" s="12">
        <v>7.05</v>
      </c>
      <c r="Q154" s="12" t="s">
        <v>23</v>
      </c>
    </row>
    <row r="155" spans="1:17" x14ac:dyDescent="0.3">
      <c r="A155" s="12" t="s">
        <v>388</v>
      </c>
      <c r="B155" s="12" t="s">
        <v>389</v>
      </c>
      <c r="C155" s="12" t="s">
        <v>18</v>
      </c>
      <c r="D155" s="12">
        <v>52</v>
      </c>
      <c r="E155" s="12" t="s">
        <v>55</v>
      </c>
      <c r="F155" s="12" t="s">
        <v>12</v>
      </c>
      <c r="G155" s="12" t="s">
        <v>119</v>
      </c>
      <c r="H155" s="12" t="s">
        <v>77</v>
      </c>
      <c r="I155" s="12">
        <v>21</v>
      </c>
      <c r="J155" s="12">
        <v>101261</v>
      </c>
      <c r="K155" s="12">
        <v>83.45</v>
      </c>
      <c r="L155" s="12">
        <v>19</v>
      </c>
      <c r="M155" s="12">
        <v>26</v>
      </c>
      <c r="N155" s="12">
        <v>115</v>
      </c>
      <c r="O155" s="12" t="s">
        <v>21</v>
      </c>
      <c r="P155" s="12">
        <v>9.4700000000000006</v>
      </c>
      <c r="Q155" s="12" t="s">
        <v>24</v>
      </c>
    </row>
    <row r="156" spans="1:17" x14ac:dyDescent="0.3">
      <c r="A156" s="12" t="s">
        <v>390</v>
      </c>
      <c r="B156" s="12" t="s">
        <v>391</v>
      </c>
      <c r="C156" s="12" t="s">
        <v>18</v>
      </c>
      <c r="D156" s="12">
        <v>44</v>
      </c>
      <c r="E156" s="12" t="s">
        <v>60</v>
      </c>
      <c r="F156" s="12" t="s">
        <v>16</v>
      </c>
      <c r="G156" s="12" t="s">
        <v>76</v>
      </c>
      <c r="H156" s="12" t="s">
        <v>86</v>
      </c>
      <c r="I156" s="12">
        <v>17</v>
      </c>
      <c r="J156" s="12">
        <v>93669</v>
      </c>
      <c r="K156" s="12">
        <v>71.91</v>
      </c>
      <c r="L156" s="12">
        <v>2</v>
      </c>
      <c r="M156" s="12">
        <v>45</v>
      </c>
      <c r="N156" s="12">
        <v>5</v>
      </c>
      <c r="O156" s="12" t="s">
        <v>22</v>
      </c>
      <c r="P156" s="12">
        <v>4.37</v>
      </c>
      <c r="Q156" s="12" t="s">
        <v>23</v>
      </c>
    </row>
    <row r="157" spans="1:17" x14ac:dyDescent="0.3">
      <c r="A157" s="12" t="s">
        <v>392</v>
      </c>
      <c r="B157" s="12" t="s">
        <v>393</v>
      </c>
      <c r="C157" s="12" t="s">
        <v>19</v>
      </c>
      <c r="D157" s="12">
        <v>36</v>
      </c>
      <c r="E157" s="12" t="s">
        <v>55</v>
      </c>
      <c r="F157" s="12" t="s">
        <v>12</v>
      </c>
      <c r="G157" s="12" t="s">
        <v>92</v>
      </c>
      <c r="H157" s="12" t="s">
        <v>86</v>
      </c>
      <c r="I157" s="12">
        <v>1</v>
      </c>
      <c r="J157" s="12">
        <v>95028</v>
      </c>
      <c r="K157" s="12">
        <v>65.540000000000006</v>
      </c>
      <c r="L157" s="12">
        <v>2</v>
      </c>
      <c r="M157" s="12">
        <v>21</v>
      </c>
      <c r="N157" s="12">
        <v>7</v>
      </c>
      <c r="O157" s="12" t="s">
        <v>22</v>
      </c>
      <c r="P157" s="12">
        <v>3.91</v>
      </c>
      <c r="Q157" s="12" t="s">
        <v>23</v>
      </c>
    </row>
    <row r="158" spans="1:17" x14ac:dyDescent="0.3">
      <c r="A158" s="12" t="s">
        <v>394</v>
      </c>
      <c r="B158" s="12" t="s">
        <v>395</v>
      </c>
      <c r="C158" s="12" t="s">
        <v>18</v>
      </c>
      <c r="D158" s="12">
        <v>49</v>
      </c>
      <c r="E158" s="12" t="s">
        <v>69</v>
      </c>
      <c r="F158" s="12" t="s">
        <v>13</v>
      </c>
      <c r="G158" s="12" t="s">
        <v>66</v>
      </c>
      <c r="H158" s="12" t="s">
        <v>86</v>
      </c>
      <c r="I158" s="12">
        <v>8</v>
      </c>
      <c r="J158" s="12">
        <v>83752</v>
      </c>
      <c r="K158" s="12">
        <v>91.4</v>
      </c>
      <c r="L158" s="12">
        <v>6</v>
      </c>
      <c r="M158" s="12">
        <v>5</v>
      </c>
      <c r="N158" s="12">
        <v>101</v>
      </c>
      <c r="O158" s="12" t="s">
        <v>22</v>
      </c>
      <c r="P158" s="12">
        <v>7.31</v>
      </c>
      <c r="Q158" s="12" t="s">
        <v>23</v>
      </c>
    </row>
    <row r="159" spans="1:17" x14ac:dyDescent="0.3">
      <c r="A159" s="12" t="s">
        <v>396</v>
      </c>
      <c r="B159" s="12" t="s">
        <v>397</v>
      </c>
      <c r="C159" s="12" t="s">
        <v>18</v>
      </c>
      <c r="D159" s="12">
        <v>23</v>
      </c>
      <c r="E159" s="12" t="s">
        <v>80</v>
      </c>
      <c r="F159" s="12" t="s">
        <v>15</v>
      </c>
      <c r="G159" s="12" t="s">
        <v>130</v>
      </c>
      <c r="H159" s="12" t="s">
        <v>86</v>
      </c>
      <c r="I159" s="12">
        <v>0</v>
      </c>
      <c r="J159" s="12">
        <v>145648</v>
      </c>
      <c r="K159" s="12">
        <v>81.27</v>
      </c>
      <c r="L159" s="12">
        <v>18</v>
      </c>
      <c r="M159" s="12">
        <v>40</v>
      </c>
      <c r="N159" s="12">
        <v>70</v>
      </c>
      <c r="O159" s="12" t="s">
        <v>22</v>
      </c>
      <c r="P159" s="12">
        <v>7.08</v>
      </c>
      <c r="Q159" s="12" t="s">
        <v>23</v>
      </c>
    </row>
    <row r="160" spans="1:17" x14ac:dyDescent="0.3">
      <c r="A160" s="12" t="s">
        <v>398</v>
      </c>
      <c r="B160" s="12" t="s">
        <v>399</v>
      </c>
      <c r="C160" s="12" t="s">
        <v>18</v>
      </c>
      <c r="D160" s="12">
        <v>38</v>
      </c>
      <c r="E160" s="12" t="s">
        <v>80</v>
      </c>
      <c r="F160" s="12" t="s">
        <v>14</v>
      </c>
      <c r="G160" s="12" t="s">
        <v>110</v>
      </c>
      <c r="H160" s="12" t="s">
        <v>86</v>
      </c>
      <c r="I160" s="12">
        <v>15</v>
      </c>
      <c r="J160" s="12">
        <v>77854</v>
      </c>
      <c r="K160" s="12">
        <v>69.540000000000006</v>
      </c>
      <c r="L160" s="12">
        <v>7</v>
      </c>
      <c r="M160" s="12">
        <v>21</v>
      </c>
      <c r="N160" s="12">
        <v>99</v>
      </c>
      <c r="O160" s="12" t="s">
        <v>20</v>
      </c>
      <c r="P160" s="12">
        <v>6.49</v>
      </c>
      <c r="Q160" s="12" t="s">
        <v>23</v>
      </c>
    </row>
    <row r="161" spans="1:17" x14ac:dyDescent="0.3">
      <c r="A161" s="12" t="s">
        <v>400</v>
      </c>
      <c r="B161" s="12" t="s">
        <v>401</v>
      </c>
      <c r="C161" s="12" t="s">
        <v>19</v>
      </c>
      <c r="D161" s="12">
        <v>43</v>
      </c>
      <c r="E161" s="12" t="s">
        <v>80</v>
      </c>
      <c r="F161" s="12" t="s">
        <v>17</v>
      </c>
      <c r="G161" s="12" t="s">
        <v>135</v>
      </c>
      <c r="H161" s="12" t="s">
        <v>86</v>
      </c>
      <c r="I161" s="12">
        <v>21</v>
      </c>
      <c r="J161" s="12">
        <v>45045</v>
      </c>
      <c r="K161" s="12">
        <v>95.38</v>
      </c>
      <c r="L161" s="12">
        <v>5</v>
      </c>
      <c r="M161" s="12">
        <v>12</v>
      </c>
      <c r="N161" s="12">
        <v>64</v>
      </c>
      <c r="O161" s="12" t="s">
        <v>22</v>
      </c>
      <c r="P161" s="12">
        <v>7.24</v>
      </c>
      <c r="Q161" s="12" t="s">
        <v>23</v>
      </c>
    </row>
    <row r="162" spans="1:17" x14ac:dyDescent="0.3">
      <c r="A162" s="12" t="s">
        <v>402</v>
      </c>
      <c r="B162" s="12" t="s">
        <v>403</v>
      </c>
      <c r="C162" s="12" t="s">
        <v>19</v>
      </c>
      <c r="D162" s="12">
        <v>29</v>
      </c>
      <c r="E162" s="12" t="s">
        <v>80</v>
      </c>
      <c r="F162" s="12" t="s">
        <v>16</v>
      </c>
      <c r="G162" s="12" t="s">
        <v>181</v>
      </c>
      <c r="H162" s="12" t="s">
        <v>62</v>
      </c>
      <c r="I162" s="12">
        <v>8</v>
      </c>
      <c r="J162" s="12">
        <v>103846</v>
      </c>
      <c r="K162" s="12">
        <v>70.05</v>
      </c>
      <c r="L162" s="12">
        <v>20</v>
      </c>
      <c r="M162" s="12">
        <v>6</v>
      </c>
      <c r="N162" s="12">
        <v>92</v>
      </c>
      <c r="O162" s="12" t="s">
        <v>21</v>
      </c>
      <c r="P162" s="12">
        <v>9.7100000000000009</v>
      </c>
      <c r="Q162" s="12" t="s">
        <v>24</v>
      </c>
    </row>
    <row r="163" spans="1:17" x14ac:dyDescent="0.3">
      <c r="A163" s="12" t="s">
        <v>404</v>
      </c>
      <c r="B163" s="12" t="s">
        <v>405</v>
      </c>
      <c r="C163" s="12" t="s">
        <v>18</v>
      </c>
      <c r="D163" s="12">
        <v>51</v>
      </c>
      <c r="E163" s="12" t="s">
        <v>91</v>
      </c>
      <c r="F163" s="12" t="s">
        <v>13</v>
      </c>
      <c r="G163" s="12" t="s">
        <v>66</v>
      </c>
      <c r="H163" s="12" t="s">
        <v>86</v>
      </c>
      <c r="I163" s="12">
        <v>26</v>
      </c>
      <c r="J163" s="12">
        <v>91974</v>
      </c>
      <c r="K163" s="12">
        <v>80.55</v>
      </c>
      <c r="L163" s="12">
        <v>11</v>
      </c>
      <c r="M163" s="12">
        <v>44</v>
      </c>
      <c r="N163" s="12">
        <v>55</v>
      </c>
      <c r="O163" s="12" t="s">
        <v>20</v>
      </c>
      <c r="P163" s="12">
        <v>8.32</v>
      </c>
      <c r="Q163" s="12" t="s">
        <v>23</v>
      </c>
    </row>
    <row r="164" spans="1:17" x14ac:dyDescent="0.3">
      <c r="A164" s="12" t="s">
        <v>406</v>
      </c>
      <c r="B164" s="12" t="s">
        <v>407</v>
      </c>
      <c r="C164" s="12" t="s">
        <v>18</v>
      </c>
      <c r="D164" s="12">
        <v>28</v>
      </c>
      <c r="E164" s="12" t="s">
        <v>69</v>
      </c>
      <c r="F164" s="12" t="s">
        <v>12</v>
      </c>
      <c r="G164" s="12" t="s">
        <v>152</v>
      </c>
      <c r="H164" s="12" t="s">
        <v>62</v>
      </c>
      <c r="I164" s="12">
        <v>2</v>
      </c>
      <c r="J164" s="12">
        <v>74962</v>
      </c>
      <c r="K164" s="12">
        <v>93.42</v>
      </c>
      <c r="L164" s="12">
        <v>19</v>
      </c>
      <c r="M164" s="12">
        <v>29</v>
      </c>
      <c r="N164" s="12">
        <v>115</v>
      </c>
      <c r="O164" s="12" t="s">
        <v>21</v>
      </c>
      <c r="P164" s="12">
        <v>10</v>
      </c>
      <c r="Q164" s="12" t="s">
        <v>23</v>
      </c>
    </row>
    <row r="165" spans="1:17" x14ac:dyDescent="0.3">
      <c r="A165" s="12" t="s">
        <v>408</v>
      </c>
      <c r="B165" s="12" t="s">
        <v>409</v>
      </c>
      <c r="C165" s="12" t="s">
        <v>19</v>
      </c>
      <c r="D165" s="12">
        <v>36</v>
      </c>
      <c r="E165" s="12" t="s">
        <v>80</v>
      </c>
      <c r="F165" s="12" t="s">
        <v>15</v>
      </c>
      <c r="G165" s="12" t="s">
        <v>73</v>
      </c>
      <c r="H165" s="12" t="s">
        <v>86</v>
      </c>
      <c r="I165" s="12">
        <v>12</v>
      </c>
      <c r="J165" s="12">
        <v>95162</v>
      </c>
      <c r="K165" s="12">
        <v>67.3</v>
      </c>
      <c r="L165" s="12">
        <v>20</v>
      </c>
      <c r="M165" s="12">
        <v>2</v>
      </c>
      <c r="N165" s="12">
        <v>37</v>
      </c>
      <c r="O165" s="12" t="s">
        <v>21</v>
      </c>
      <c r="P165" s="12">
        <v>7.2</v>
      </c>
      <c r="Q165" s="12" t="s">
        <v>23</v>
      </c>
    </row>
    <row r="166" spans="1:17" x14ac:dyDescent="0.3">
      <c r="A166" s="12" t="s">
        <v>410</v>
      </c>
      <c r="B166" s="12" t="s">
        <v>411</v>
      </c>
      <c r="C166" s="12" t="s">
        <v>18</v>
      </c>
      <c r="D166" s="12">
        <v>42</v>
      </c>
      <c r="E166" s="12" t="s">
        <v>91</v>
      </c>
      <c r="F166" s="12" t="s">
        <v>17</v>
      </c>
      <c r="G166" s="12" t="s">
        <v>102</v>
      </c>
      <c r="H166" s="12" t="s">
        <v>86</v>
      </c>
      <c r="I166" s="12">
        <v>18</v>
      </c>
      <c r="J166" s="12">
        <v>86532</v>
      </c>
      <c r="K166" s="12">
        <v>81.06</v>
      </c>
      <c r="L166" s="12">
        <v>4</v>
      </c>
      <c r="M166" s="12">
        <v>2</v>
      </c>
      <c r="N166" s="12">
        <v>64</v>
      </c>
      <c r="O166" s="12" t="s">
        <v>22</v>
      </c>
      <c r="P166" s="12">
        <v>6.08</v>
      </c>
      <c r="Q166" s="12" t="s">
        <v>23</v>
      </c>
    </row>
    <row r="167" spans="1:17" x14ac:dyDescent="0.3">
      <c r="A167" s="12" t="s">
        <v>412</v>
      </c>
      <c r="B167" s="12" t="s">
        <v>413</v>
      </c>
      <c r="C167" s="12" t="s">
        <v>18</v>
      </c>
      <c r="D167" s="12">
        <v>37</v>
      </c>
      <c r="E167" s="12" t="s">
        <v>60</v>
      </c>
      <c r="F167" s="12" t="s">
        <v>14</v>
      </c>
      <c r="G167" s="12" t="s">
        <v>248</v>
      </c>
      <c r="H167" s="12" t="s">
        <v>62</v>
      </c>
      <c r="I167" s="12">
        <v>12</v>
      </c>
      <c r="J167" s="12">
        <v>114219</v>
      </c>
      <c r="K167" s="12">
        <v>77.8</v>
      </c>
      <c r="L167" s="12">
        <v>18</v>
      </c>
      <c r="M167" s="12">
        <v>42</v>
      </c>
      <c r="N167" s="12">
        <v>36</v>
      </c>
      <c r="O167" s="12" t="s">
        <v>22</v>
      </c>
      <c r="P167" s="12">
        <v>7.88</v>
      </c>
      <c r="Q167" s="12" t="s">
        <v>23</v>
      </c>
    </row>
    <row r="168" spans="1:17" x14ac:dyDescent="0.3">
      <c r="A168" s="12" t="s">
        <v>414</v>
      </c>
      <c r="B168" s="12" t="s">
        <v>415</v>
      </c>
      <c r="C168" s="12" t="s">
        <v>19</v>
      </c>
      <c r="D168" s="12">
        <v>25</v>
      </c>
      <c r="E168" s="12" t="s">
        <v>69</v>
      </c>
      <c r="F168" s="12" t="s">
        <v>13</v>
      </c>
      <c r="G168" s="12" t="s">
        <v>66</v>
      </c>
      <c r="H168" s="12" t="s">
        <v>57</v>
      </c>
      <c r="I168" s="12">
        <v>0</v>
      </c>
      <c r="J168" s="12">
        <v>89508</v>
      </c>
      <c r="K168" s="12">
        <v>66.77</v>
      </c>
      <c r="L168" s="12">
        <v>16</v>
      </c>
      <c r="M168" s="12">
        <v>2</v>
      </c>
      <c r="N168" s="12">
        <v>103</v>
      </c>
      <c r="O168" s="12" t="s">
        <v>22</v>
      </c>
      <c r="P168" s="12">
        <v>7.51</v>
      </c>
      <c r="Q168" s="12" t="s">
        <v>23</v>
      </c>
    </row>
    <row r="169" spans="1:17" x14ac:dyDescent="0.3">
      <c r="A169" s="12" t="s">
        <v>416</v>
      </c>
      <c r="B169" s="12" t="s">
        <v>417</v>
      </c>
      <c r="C169" s="12" t="s">
        <v>19</v>
      </c>
      <c r="D169" s="12">
        <v>57</v>
      </c>
      <c r="E169" s="12" t="s">
        <v>55</v>
      </c>
      <c r="F169" s="12" t="s">
        <v>13</v>
      </c>
      <c r="G169" s="12" t="s">
        <v>56</v>
      </c>
      <c r="H169" s="12" t="s">
        <v>57</v>
      </c>
      <c r="I169" s="12">
        <v>28</v>
      </c>
      <c r="J169" s="12">
        <v>86302</v>
      </c>
      <c r="K169" s="12">
        <v>92.96</v>
      </c>
      <c r="L169" s="12">
        <v>1</v>
      </c>
      <c r="M169" s="12">
        <v>0</v>
      </c>
      <c r="N169" s="12">
        <v>111</v>
      </c>
      <c r="O169" s="12" t="s">
        <v>21</v>
      </c>
      <c r="P169" s="12">
        <v>8.06</v>
      </c>
      <c r="Q169" s="12" t="s">
        <v>23</v>
      </c>
    </row>
    <row r="170" spans="1:17" x14ac:dyDescent="0.3">
      <c r="A170" s="12" t="s">
        <v>418</v>
      </c>
      <c r="B170" s="12" t="s">
        <v>419</v>
      </c>
      <c r="C170" s="12" t="s">
        <v>18</v>
      </c>
      <c r="D170" s="12">
        <v>57</v>
      </c>
      <c r="E170" s="12" t="s">
        <v>91</v>
      </c>
      <c r="F170" s="12" t="s">
        <v>13</v>
      </c>
      <c r="G170" s="12" t="s">
        <v>107</v>
      </c>
      <c r="H170" s="12" t="s">
        <v>77</v>
      </c>
      <c r="I170" s="12">
        <v>8</v>
      </c>
      <c r="J170" s="12">
        <v>55149</v>
      </c>
      <c r="K170" s="12">
        <v>74.709999999999994</v>
      </c>
      <c r="L170" s="12">
        <v>4</v>
      </c>
      <c r="M170" s="12">
        <v>22</v>
      </c>
      <c r="N170" s="12">
        <v>5</v>
      </c>
      <c r="O170" s="12" t="s">
        <v>20</v>
      </c>
      <c r="P170" s="12">
        <v>4.45</v>
      </c>
      <c r="Q170" s="12" t="s">
        <v>23</v>
      </c>
    </row>
    <row r="171" spans="1:17" x14ac:dyDescent="0.3">
      <c r="A171" s="12" t="s">
        <v>420</v>
      </c>
      <c r="B171" s="12" t="s">
        <v>421</v>
      </c>
      <c r="C171" s="12" t="s">
        <v>19</v>
      </c>
      <c r="D171" s="12">
        <v>32</v>
      </c>
      <c r="E171" s="12" t="s">
        <v>60</v>
      </c>
      <c r="F171" s="12" t="s">
        <v>14</v>
      </c>
      <c r="G171" s="12" t="s">
        <v>110</v>
      </c>
      <c r="H171" s="12" t="s">
        <v>86</v>
      </c>
      <c r="I171" s="12">
        <v>0</v>
      </c>
      <c r="J171" s="12">
        <v>161797</v>
      </c>
      <c r="K171" s="12">
        <v>68.069999999999993</v>
      </c>
      <c r="L171" s="12">
        <v>2</v>
      </c>
      <c r="M171" s="12">
        <v>29</v>
      </c>
      <c r="N171" s="12">
        <v>80</v>
      </c>
      <c r="O171" s="12" t="s">
        <v>22</v>
      </c>
      <c r="P171" s="12">
        <v>5.63</v>
      </c>
      <c r="Q171" s="12" t="s">
        <v>23</v>
      </c>
    </row>
    <row r="172" spans="1:17" x14ac:dyDescent="0.3">
      <c r="A172" s="12" t="s">
        <v>422</v>
      </c>
      <c r="B172" s="12" t="s">
        <v>423</v>
      </c>
      <c r="C172" s="12" t="s">
        <v>19</v>
      </c>
      <c r="D172" s="12">
        <v>28</v>
      </c>
      <c r="E172" s="12" t="s">
        <v>65</v>
      </c>
      <c r="F172" s="12" t="s">
        <v>17</v>
      </c>
      <c r="G172" s="12" t="s">
        <v>102</v>
      </c>
      <c r="H172" s="12" t="s">
        <v>77</v>
      </c>
      <c r="I172" s="12">
        <v>1</v>
      </c>
      <c r="J172" s="12">
        <v>62056</v>
      </c>
      <c r="K172" s="12">
        <v>67.959999999999994</v>
      </c>
      <c r="L172" s="12">
        <v>4</v>
      </c>
      <c r="M172" s="12">
        <v>50</v>
      </c>
      <c r="N172" s="12">
        <v>16</v>
      </c>
      <c r="O172" s="12" t="s">
        <v>22</v>
      </c>
      <c r="P172" s="12">
        <v>3.41</v>
      </c>
      <c r="Q172" s="12" t="s">
        <v>23</v>
      </c>
    </row>
    <row r="173" spans="1:17" x14ac:dyDescent="0.3">
      <c r="A173" s="12" t="s">
        <v>424</v>
      </c>
      <c r="B173" s="12" t="s">
        <v>425</v>
      </c>
      <c r="C173" s="12" t="s">
        <v>19</v>
      </c>
      <c r="D173" s="12">
        <v>43</v>
      </c>
      <c r="E173" s="12" t="s">
        <v>80</v>
      </c>
      <c r="F173" s="12" t="s">
        <v>12</v>
      </c>
      <c r="G173" s="12" t="s">
        <v>152</v>
      </c>
      <c r="H173" s="12" t="s">
        <v>57</v>
      </c>
      <c r="I173" s="12">
        <v>5</v>
      </c>
      <c r="J173" s="12">
        <v>130153</v>
      </c>
      <c r="K173" s="12">
        <v>79.61</v>
      </c>
      <c r="L173" s="12">
        <v>9</v>
      </c>
      <c r="M173" s="12">
        <v>0</v>
      </c>
      <c r="N173" s="12">
        <v>21</v>
      </c>
      <c r="O173" s="12" t="s">
        <v>20</v>
      </c>
      <c r="P173" s="12">
        <v>5.46</v>
      </c>
      <c r="Q173" s="12" t="s">
        <v>23</v>
      </c>
    </row>
    <row r="174" spans="1:17" x14ac:dyDescent="0.3">
      <c r="A174" s="12" t="s">
        <v>426</v>
      </c>
      <c r="B174" s="12" t="s">
        <v>427</v>
      </c>
      <c r="C174" s="12" t="s">
        <v>18</v>
      </c>
      <c r="D174" s="12">
        <v>49</v>
      </c>
      <c r="E174" s="12" t="s">
        <v>65</v>
      </c>
      <c r="F174" s="12" t="s">
        <v>14</v>
      </c>
      <c r="G174" s="12" t="s">
        <v>110</v>
      </c>
      <c r="H174" s="12" t="s">
        <v>86</v>
      </c>
      <c r="I174" s="12">
        <v>22</v>
      </c>
      <c r="J174" s="12">
        <v>160959</v>
      </c>
      <c r="K174" s="12">
        <v>77.17</v>
      </c>
      <c r="L174" s="12">
        <v>8</v>
      </c>
      <c r="M174" s="12">
        <v>17</v>
      </c>
      <c r="N174" s="12">
        <v>42</v>
      </c>
      <c r="O174" s="12" t="s">
        <v>20</v>
      </c>
      <c r="P174" s="12">
        <v>6.27</v>
      </c>
      <c r="Q174" s="12" t="s">
        <v>23</v>
      </c>
    </row>
    <row r="175" spans="1:17" x14ac:dyDescent="0.3">
      <c r="A175" s="12" t="s">
        <v>428</v>
      </c>
      <c r="B175" s="12" t="s">
        <v>429</v>
      </c>
      <c r="C175" s="12" t="s">
        <v>19</v>
      </c>
      <c r="D175" s="12">
        <v>37</v>
      </c>
      <c r="E175" s="12" t="s">
        <v>80</v>
      </c>
      <c r="F175" s="12" t="s">
        <v>16</v>
      </c>
      <c r="G175" s="12" t="s">
        <v>181</v>
      </c>
      <c r="H175" s="12" t="s">
        <v>57</v>
      </c>
      <c r="I175" s="12">
        <v>7</v>
      </c>
      <c r="J175" s="12">
        <v>97478</v>
      </c>
      <c r="K175" s="12">
        <v>80.13</v>
      </c>
      <c r="L175" s="12">
        <v>17</v>
      </c>
      <c r="M175" s="12">
        <v>38</v>
      </c>
      <c r="N175" s="12">
        <v>77</v>
      </c>
      <c r="O175" s="12" t="s">
        <v>20</v>
      </c>
      <c r="P175" s="12">
        <v>8.7799999999999994</v>
      </c>
      <c r="Q175" s="12" t="s">
        <v>24</v>
      </c>
    </row>
    <row r="176" spans="1:17" x14ac:dyDescent="0.3">
      <c r="A176" s="12" t="s">
        <v>430</v>
      </c>
      <c r="B176" s="12" t="s">
        <v>431</v>
      </c>
      <c r="C176" s="12" t="s">
        <v>18</v>
      </c>
      <c r="D176" s="12">
        <v>47</v>
      </c>
      <c r="E176" s="12" t="s">
        <v>55</v>
      </c>
      <c r="F176" s="12" t="s">
        <v>16</v>
      </c>
      <c r="G176" s="12" t="s">
        <v>271</v>
      </c>
      <c r="H176" s="12" t="s">
        <v>62</v>
      </c>
      <c r="I176" s="12">
        <v>22</v>
      </c>
      <c r="J176" s="12">
        <v>83106</v>
      </c>
      <c r="K176" s="12">
        <v>73.709999999999994</v>
      </c>
      <c r="L176" s="12">
        <v>13</v>
      </c>
      <c r="M176" s="12">
        <v>3</v>
      </c>
      <c r="N176" s="12">
        <v>63</v>
      </c>
      <c r="O176" s="12" t="s">
        <v>20</v>
      </c>
      <c r="P176" s="12">
        <v>7.55</v>
      </c>
      <c r="Q176" s="12" t="s">
        <v>23</v>
      </c>
    </row>
    <row r="177" spans="1:17" x14ac:dyDescent="0.3">
      <c r="A177" s="12" t="s">
        <v>432</v>
      </c>
      <c r="B177" s="12" t="s">
        <v>433</v>
      </c>
      <c r="C177" s="12" t="s">
        <v>18</v>
      </c>
      <c r="D177" s="12">
        <v>51</v>
      </c>
      <c r="E177" s="12" t="s">
        <v>55</v>
      </c>
      <c r="F177" s="12" t="s">
        <v>14</v>
      </c>
      <c r="G177" s="12" t="s">
        <v>110</v>
      </c>
      <c r="H177" s="12" t="s">
        <v>62</v>
      </c>
      <c r="I177" s="12">
        <v>26</v>
      </c>
      <c r="J177" s="12">
        <v>105820</v>
      </c>
      <c r="K177" s="12">
        <v>66.69</v>
      </c>
      <c r="L177" s="12">
        <v>5</v>
      </c>
      <c r="M177" s="12">
        <v>19</v>
      </c>
      <c r="N177" s="12">
        <v>48</v>
      </c>
      <c r="O177" s="12" t="s">
        <v>22</v>
      </c>
      <c r="P177" s="12">
        <v>6.51</v>
      </c>
      <c r="Q177" s="12" t="s">
        <v>23</v>
      </c>
    </row>
    <row r="178" spans="1:17" x14ac:dyDescent="0.3">
      <c r="A178" s="12" t="s">
        <v>434</v>
      </c>
      <c r="B178" s="12" t="s">
        <v>435</v>
      </c>
      <c r="C178" s="12" t="s">
        <v>18</v>
      </c>
      <c r="D178" s="12">
        <v>43</v>
      </c>
      <c r="E178" s="12" t="s">
        <v>80</v>
      </c>
      <c r="F178" s="12" t="s">
        <v>13</v>
      </c>
      <c r="G178" s="12" t="s">
        <v>107</v>
      </c>
      <c r="H178" s="12" t="s">
        <v>62</v>
      </c>
      <c r="I178" s="12">
        <v>8</v>
      </c>
      <c r="J178" s="12">
        <v>66545</v>
      </c>
      <c r="K178" s="12">
        <v>72.36</v>
      </c>
      <c r="L178" s="12">
        <v>3</v>
      </c>
      <c r="M178" s="12">
        <v>54</v>
      </c>
      <c r="N178" s="12">
        <v>66</v>
      </c>
      <c r="O178" s="12" t="s">
        <v>20</v>
      </c>
      <c r="P178" s="12">
        <v>4.99</v>
      </c>
      <c r="Q178" s="12" t="s">
        <v>23</v>
      </c>
    </row>
    <row r="179" spans="1:17" x14ac:dyDescent="0.3">
      <c r="A179" s="12" t="s">
        <v>436</v>
      </c>
      <c r="B179" s="12" t="s">
        <v>437</v>
      </c>
      <c r="C179" s="12" t="s">
        <v>18</v>
      </c>
      <c r="D179" s="12">
        <v>51</v>
      </c>
      <c r="E179" s="12" t="s">
        <v>91</v>
      </c>
      <c r="F179" s="12" t="s">
        <v>13</v>
      </c>
      <c r="G179" s="12" t="s">
        <v>107</v>
      </c>
      <c r="H179" s="12" t="s">
        <v>77</v>
      </c>
      <c r="I179" s="12">
        <v>13</v>
      </c>
      <c r="J179" s="12">
        <v>60993</v>
      </c>
      <c r="K179" s="12">
        <v>91.01</v>
      </c>
      <c r="L179" s="12">
        <v>12</v>
      </c>
      <c r="M179" s="12">
        <v>37</v>
      </c>
      <c r="N179" s="12">
        <v>10</v>
      </c>
      <c r="O179" s="12" t="s">
        <v>20</v>
      </c>
      <c r="P179" s="12">
        <v>6.68</v>
      </c>
      <c r="Q179" s="12" t="s">
        <v>23</v>
      </c>
    </row>
    <row r="180" spans="1:17" x14ac:dyDescent="0.3">
      <c r="A180" s="12" t="s">
        <v>438</v>
      </c>
      <c r="B180" s="12" t="s">
        <v>439</v>
      </c>
      <c r="C180" s="12" t="s">
        <v>19</v>
      </c>
      <c r="D180" s="12">
        <v>51</v>
      </c>
      <c r="E180" s="12" t="s">
        <v>55</v>
      </c>
      <c r="F180" s="12" t="s">
        <v>14</v>
      </c>
      <c r="G180" s="12" t="s">
        <v>85</v>
      </c>
      <c r="H180" s="12" t="s">
        <v>77</v>
      </c>
      <c r="I180" s="12">
        <v>21</v>
      </c>
      <c r="J180" s="12">
        <v>107061</v>
      </c>
      <c r="K180" s="12">
        <v>85.64</v>
      </c>
      <c r="L180" s="12">
        <v>1</v>
      </c>
      <c r="M180" s="12">
        <v>12</v>
      </c>
      <c r="N180" s="12">
        <v>37</v>
      </c>
      <c r="O180" s="12" t="s">
        <v>22</v>
      </c>
      <c r="P180" s="12">
        <v>6.18</v>
      </c>
      <c r="Q180" s="12" t="s">
        <v>23</v>
      </c>
    </row>
    <row r="181" spans="1:17" x14ac:dyDescent="0.3">
      <c r="A181" s="12" t="s">
        <v>440</v>
      </c>
      <c r="B181" s="12" t="s">
        <v>441</v>
      </c>
      <c r="C181" s="12" t="s">
        <v>18</v>
      </c>
      <c r="D181" s="12">
        <v>57</v>
      </c>
      <c r="E181" s="12" t="s">
        <v>69</v>
      </c>
      <c r="F181" s="12" t="s">
        <v>14</v>
      </c>
      <c r="G181" s="12" t="s">
        <v>85</v>
      </c>
      <c r="H181" s="12" t="s">
        <v>62</v>
      </c>
      <c r="I181" s="12">
        <v>13</v>
      </c>
      <c r="J181" s="12">
        <v>150840</v>
      </c>
      <c r="K181" s="12">
        <v>92.28</v>
      </c>
      <c r="L181" s="12">
        <v>5</v>
      </c>
      <c r="M181" s="12">
        <v>41</v>
      </c>
      <c r="N181" s="12">
        <v>29</v>
      </c>
      <c r="O181" s="12" t="s">
        <v>22</v>
      </c>
      <c r="P181" s="12">
        <v>6.82</v>
      </c>
      <c r="Q181" s="12" t="s">
        <v>23</v>
      </c>
    </row>
    <row r="182" spans="1:17" x14ac:dyDescent="0.3">
      <c r="A182" s="12" t="s">
        <v>442</v>
      </c>
      <c r="B182" s="12" t="s">
        <v>443</v>
      </c>
      <c r="C182" s="12" t="s">
        <v>18</v>
      </c>
      <c r="D182" s="12">
        <v>49</v>
      </c>
      <c r="E182" s="12" t="s">
        <v>69</v>
      </c>
      <c r="F182" s="12" t="s">
        <v>13</v>
      </c>
      <c r="G182" s="12" t="s">
        <v>56</v>
      </c>
      <c r="H182" s="12" t="s">
        <v>57</v>
      </c>
      <c r="I182" s="12">
        <v>2</v>
      </c>
      <c r="J182" s="12">
        <v>95520</v>
      </c>
      <c r="K182" s="12">
        <v>99.14</v>
      </c>
      <c r="L182" s="12">
        <v>1</v>
      </c>
      <c r="M182" s="12">
        <v>42</v>
      </c>
      <c r="N182" s="12">
        <v>108</v>
      </c>
      <c r="O182" s="12" t="s">
        <v>20</v>
      </c>
      <c r="P182" s="12">
        <v>7</v>
      </c>
      <c r="Q182" s="12" t="s">
        <v>23</v>
      </c>
    </row>
    <row r="183" spans="1:17" x14ac:dyDescent="0.3">
      <c r="A183" s="12" t="s">
        <v>444</v>
      </c>
      <c r="B183" s="12" t="s">
        <v>9</v>
      </c>
      <c r="C183" s="12" t="s">
        <v>18</v>
      </c>
      <c r="D183" s="12">
        <v>43</v>
      </c>
      <c r="E183" s="12" t="s">
        <v>69</v>
      </c>
      <c r="F183" s="12" t="s">
        <v>13</v>
      </c>
      <c r="G183" s="12" t="s">
        <v>66</v>
      </c>
      <c r="H183" s="12" t="s">
        <v>77</v>
      </c>
      <c r="I183" s="12">
        <v>13</v>
      </c>
      <c r="J183" s="12">
        <v>43811</v>
      </c>
      <c r="K183" s="12">
        <v>68.790000000000006</v>
      </c>
      <c r="L183" s="12">
        <v>11</v>
      </c>
      <c r="M183" s="12">
        <v>39</v>
      </c>
      <c r="N183" s="12">
        <v>87</v>
      </c>
      <c r="O183" s="12" t="s">
        <v>20</v>
      </c>
      <c r="P183" s="12">
        <v>8.0399999999999991</v>
      </c>
      <c r="Q183" s="12" t="s">
        <v>23</v>
      </c>
    </row>
    <row r="184" spans="1:17" x14ac:dyDescent="0.3">
      <c r="A184" s="12" t="s">
        <v>445</v>
      </c>
      <c r="B184" s="12" t="s">
        <v>446</v>
      </c>
      <c r="C184" s="12" t="s">
        <v>18</v>
      </c>
      <c r="D184" s="12">
        <v>45</v>
      </c>
      <c r="E184" s="12" t="s">
        <v>65</v>
      </c>
      <c r="F184" s="12" t="s">
        <v>12</v>
      </c>
      <c r="G184" s="12" t="s">
        <v>119</v>
      </c>
      <c r="H184" s="12" t="s">
        <v>57</v>
      </c>
      <c r="I184" s="12">
        <v>5</v>
      </c>
      <c r="J184" s="12">
        <v>57234</v>
      </c>
      <c r="K184" s="12">
        <v>66.849999999999994</v>
      </c>
      <c r="L184" s="12">
        <v>1</v>
      </c>
      <c r="M184" s="12">
        <v>48</v>
      </c>
      <c r="N184" s="12">
        <v>17</v>
      </c>
      <c r="O184" s="12" t="s">
        <v>22</v>
      </c>
      <c r="P184" s="12">
        <v>4.22</v>
      </c>
      <c r="Q184" s="12" t="s">
        <v>23</v>
      </c>
    </row>
    <row r="185" spans="1:17" x14ac:dyDescent="0.3">
      <c r="A185" s="12" t="s">
        <v>447</v>
      </c>
      <c r="B185" s="12" t="s">
        <v>448</v>
      </c>
      <c r="C185" s="12" t="s">
        <v>18</v>
      </c>
      <c r="D185" s="12">
        <v>52</v>
      </c>
      <c r="E185" s="12" t="s">
        <v>65</v>
      </c>
      <c r="F185" s="12" t="s">
        <v>14</v>
      </c>
      <c r="G185" s="12" t="s">
        <v>70</v>
      </c>
      <c r="H185" s="12" t="s">
        <v>57</v>
      </c>
      <c r="I185" s="12">
        <v>11</v>
      </c>
      <c r="J185" s="12">
        <v>144790</v>
      </c>
      <c r="K185" s="12">
        <v>90.22</v>
      </c>
      <c r="L185" s="12">
        <v>10</v>
      </c>
      <c r="M185" s="12">
        <v>9</v>
      </c>
      <c r="N185" s="12">
        <v>119</v>
      </c>
      <c r="O185" s="12" t="s">
        <v>21</v>
      </c>
      <c r="P185" s="12">
        <v>8.26</v>
      </c>
      <c r="Q185" s="12" t="s">
        <v>23</v>
      </c>
    </row>
    <row r="186" spans="1:17" x14ac:dyDescent="0.3">
      <c r="A186" s="12" t="s">
        <v>449</v>
      </c>
      <c r="B186" s="12" t="s">
        <v>450</v>
      </c>
      <c r="C186" s="12" t="s">
        <v>19</v>
      </c>
      <c r="D186" s="12">
        <v>52</v>
      </c>
      <c r="E186" s="12" t="s">
        <v>60</v>
      </c>
      <c r="F186" s="12" t="s">
        <v>13</v>
      </c>
      <c r="G186" s="12" t="s">
        <v>66</v>
      </c>
      <c r="H186" s="12" t="s">
        <v>86</v>
      </c>
      <c r="I186" s="12">
        <v>24</v>
      </c>
      <c r="J186" s="12">
        <v>47093</v>
      </c>
      <c r="K186" s="12">
        <v>67.17</v>
      </c>
      <c r="L186" s="12">
        <v>4</v>
      </c>
      <c r="M186" s="12">
        <v>58</v>
      </c>
      <c r="N186" s="12">
        <v>60</v>
      </c>
      <c r="O186" s="12" t="s">
        <v>22</v>
      </c>
      <c r="P186" s="12">
        <v>6.51</v>
      </c>
      <c r="Q186" s="12" t="s">
        <v>23</v>
      </c>
    </row>
    <row r="187" spans="1:17" x14ac:dyDescent="0.3">
      <c r="A187" s="12" t="s">
        <v>451</v>
      </c>
      <c r="B187" s="12" t="s">
        <v>452</v>
      </c>
      <c r="C187" s="12" t="s">
        <v>18</v>
      </c>
      <c r="D187" s="12">
        <v>34</v>
      </c>
      <c r="E187" s="12" t="s">
        <v>60</v>
      </c>
      <c r="F187" s="12" t="s">
        <v>14</v>
      </c>
      <c r="G187" s="12" t="s">
        <v>110</v>
      </c>
      <c r="H187" s="12" t="s">
        <v>57</v>
      </c>
      <c r="I187" s="12">
        <v>1</v>
      </c>
      <c r="J187" s="12">
        <v>141654</v>
      </c>
      <c r="K187" s="12">
        <v>66.86</v>
      </c>
      <c r="L187" s="12">
        <v>18</v>
      </c>
      <c r="M187" s="12">
        <v>2</v>
      </c>
      <c r="N187" s="12">
        <v>93</v>
      </c>
      <c r="O187" s="12" t="s">
        <v>20</v>
      </c>
      <c r="P187" s="12">
        <v>7.34</v>
      </c>
      <c r="Q187" s="12" t="s">
        <v>23</v>
      </c>
    </row>
    <row r="188" spans="1:17" x14ac:dyDescent="0.3">
      <c r="A188" s="12" t="s">
        <v>453</v>
      </c>
      <c r="B188" s="12" t="s">
        <v>454</v>
      </c>
      <c r="C188" s="12" t="s">
        <v>18</v>
      </c>
      <c r="D188" s="12">
        <v>53</v>
      </c>
      <c r="E188" s="12" t="s">
        <v>55</v>
      </c>
      <c r="F188" s="12" t="s">
        <v>17</v>
      </c>
      <c r="G188" s="12" t="s">
        <v>99</v>
      </c>
      <c r="H188" s="12" t="s">
        <v>77</v>
      </c>
      <c r="I188" s="12">
        <v>8</v>
      </c>
      <c r="J188" s="12">
        <v>69503</v>
      </c>
      <c r="K188" s="12">
        <v>78.989999999999995</v>
      </c>
      <c r="L188" s="12">
        <v>1</v>
      </c>
      <c r="M188" s="12">
        <v>53</v>
      </c>
      <c r="N188" s="12">
        <v>92</v>
      </c>
      <c r="O188" s="12" t="s">
        <v>20</v>
      </c>
      <c r="P188" s="12">
        <v>6.5</v>
      </c>
      <c r="Q188" s="12" t="s">
        <v>23</v>
      </c>
    </row>
    <row r="189" spans="1:17" x14ac:dyDescent="0.3">
      <c r="A189" s="12" t="s">
        <v>455</v>
      </c>
      <c r="B189" s="12" t="s">
        <v>456</v>
      </c>
      <c r="C189" s="12" t="s">
        <v>19</v>
      </c>
      <c r="D189" s="12">
        <v>24</v>
      </c>
      <c r="E189" s="12" t="s">
        <v>60</v>
      </c>
      <c r="F189" s="12" t="s">
        <v>14</v>
      </c>
      <c r="G189" s="12" t="s">
        <v>110</v>
      </c>
      <c r="H189" s="12" t="s">
        <v>62</v>
      </c>
      <c r="I189" s="12">
        <v>1</v>
      </c>
      <c r="J189" s="12">
        <v>87392</v>
      </c>
      <c r="K189" s="12">
        <v>86.84</v>
      </c>
      <c r="L189" s="12">
        <v>17</v>
      </c>
      <c r="M189" s="12">
        <v>4</v>
      </c>
      <c r="N189" s="12">
        <v>32</v>
      </c>
      <c r="O189" s="12" t="s">
        <v>21</v>
      </c>
      <c r="P189" s="12">
        <v>8.25</v>
      </c>
      <c r="Q189" s="12" t="s">
        <v>23</v>
      </c>
    </row>
    <row r="190" spans="1:17" x14ac:dyDescent="0.3">
      <c r="A190" s="12" t="s">
        <v>457</v>
      </c>
      <c r="B190" s="12" t="s">
        <v>458</v>
      </c>
      <c r="C190" s="12" t="s">
        <v>19</v>
      </c>
      <c r="D190" s="12">
        <v>32</v>
      </c>
      <c r="E190" s="12" t="s">
        <v>55</v>
      </c>
      <c r="F190" s="12" t="s">
        <v>12</v>
      </c>
      <c r="G190" s="12" t="s">
        <v>92</v>
      </c>
      <c r="H190" s="12" t="s">
        <v>86</v>
      </c>
      <c r="I190" s="12">
        <v>9</v>
      </c>
      <c r="J190" s="12">
        <v>98578</v>
      </c>
      <c r="K190" s="12">
        <v>73.86</v>
      </c>
      <c r="L190" s="12">
        <v>18</v>
      </c>
      <c r="M190" s="12">
        <v>9</v>
      </c>
      <c r="N190" s="12">
        <v>50</v>
      </c>
      <c r="O190" s="12" t="s">
        <v>21</v>
      </c>
      <c r="P190" s="12">
        <v>7.44</v>
      </c>
      <c r="Q190" s="12" t="s">
        <v>23</v>
      </c>
    </row>
    <row r="191" spans="1:17" x14ac:dyDescent="0.3">
      <c r="A191" s="12" t="s">
        <v>459</v>
      </c>
      <c r="B191" s="12" t="s">
        <v>460</v>
      </c>
      <c r="C191" s="12" t="s">
        <v>18</v>
      </c>
      <c r="D191" s="12">
        <v>23</v>
      </c>
      <c r="E191" s="12" t="s">
        <v>65</v>
      </c>
      <c r="F191" s="12" t="s">
        <v>14</v>
      </c>
      <c r="G191" s="12" t="s">
        <v>70</v>
      </c>
      <c r="H191" s="12" t="s">
        <v>77</v>
      </c>
      <c r="I191" s="12">
        <v>0</v>
      </c>
      <c r="J191" s="12">
        <v>136519</v>
      </c>
      <c r="K191" s="12">
        <v>68.22</v>
      </c>
      <c r="L191" s="12">
        <v>11</v>
      </c>
      <c r="M191" s="12">
        <v>26</v>
      </c>
      <c r="N191" s="12">
        <v>97</v>
      </c>
      <c r="O191" s="12" t="s">
        <v>20</v>
      </c>
      <c r="P191" s="12">
        <v>6.73</v>
      </c>
      <c r="Q191" s="12" t="s">
        <v>23</v>
      </c>
    </row>
    <row r="192" spans="1:17" x14ac:dyDescent="0.3">
      <c r="A192" s="12" t="s">
        <v>461</v>
      </c>
      <c r="B192" s="12" t="s">
        <v>462</v>
      </c>
      <c r="C192" s="12" t="s">
        <v>19</v>
      </c>
      <c r="D192" s="12">
        <v>27</v>
      </c>
      <c r="E192" s="12" t="s">
        <v>65</v>
      </c>
      <c r="F192" s="12" t="s">
        <v>16</v>
      </c>
      <c r="G192" s="12" t="s">
        <v>76</v>
      </c>
      <c r="H192" s="12" t="s">
        <v>86</v>
      </c>
      <c r="I192" s="12">
        <v>6</v>
      </c>
      <c r="J192" s="12">
        <v>99727</v>
      </c>
      <c r="K192" s="12">
        <v>68.19</v>
      </c>
      <c r="L192" s="12">
        <v>3</v>
      </c>
      <c r="M192" s="12">
        <v>34</v>
      </c>
      <c r="N192" s="12">
        <v>78</v>
      </c>
      <c r="O192" s="12" t="s">
        <v>22</v>
      </c>
      <c r="P192" s="12">
        <v>4.9000000000000004</v>
      </c>
      <c r="Q192" s="12" t="s">
        <v>23</v>
      </c>
    </row>
    <row r="193" spans="1:17" x14ac:dyDescent="0.3">
      <c r="A193" s="12" t="s">
        <v>463</v>
      </c>
      <c r="B193" s="12" t="s">
        <v>464</v>
      </c>
      <c r="C193" s="12" t="s">
        <v>19</v>
      </c>
      <c r="D193" s="12">
        <v>50</v>
      </c>
      <c r="E193" s="12" t="s">
        <v>65</v>
      </c>
      <c r="F193" s="12" t="s">
        <v>12</v>
      </c>
      <c r="G193" s="12" t="s">
        <v>92</v>
      </c>
      <c r="H193" s="12" t="s">
        <v>62</v>
      </c>
      <c r="I193" s="12">
        <v>26</v>
      </c>
      <c r="J193" s="12">
        <v>115085</v>
      </c>
      <c r="K193" s="12">
        <v>78.599999999999994</v>
      </c>
      <c r="L193" s="12">
        <v>4</v>
      </c>
      <c r="M193" s="12">
        <v>41</v>
      </c>
      <c r="N193" s="12">
        <v>86</v>
      </c>
      <c r="O193" s="12" t="s">
        <v>20</v>
      </c>
      <c r="P193" s="12">
        <v>8.35</v>
      </c>
      <c r="Q193" s="12" t="s">
        <v>23</v>
      </c>
    </row>
    <row r="194" spans="1:17" x14ac:dyDescent="0.3">
      <c r="A194" s="12" t="s">
        <v>465</v>
      </c>
      <c r="B194" s="12" t="s">
        <v>466</v>
      </c>
      <c r="C194" s="12" t="s">
        <v>19</v>
      </c>
      <c r="D194" s="12">
        <v>39</v>
      </c>
      <c r="E194" s="12" t="s">
        <v>80</v>
      </c>
      <c r="F194" s="12" t="s">
        <v>12</v>
      </c>
      <c r="G194" s="12" t="s">
        <v>119</v>
      </c>
      <c r="H194" s="12" t="s">
        <v>57</v>
      </c>
      <c r="I194" s="12">
        <v>14</v>
      </c>
      <c r="J194" s="12">
        <v>84215</v>
      </c>
      <c r="K194" s="12">
        <v>71.83</v>
      </c>
      <c r="L194" s="12">
        <v>11</v>
      </c>
      <c r="M194" s="12">
        <v>50</v>
      </c>
      <c r="N194" s="12">
        <v>16</v>
      </c>
      <c r="O194" s="12" t="s">
        <v>22</v>
      </c>
      <c r="P194" s="12">
        <v>5.45</v>
      </c>
      <c r="Q194" s="12" t="s">
        <v>23</v>
      </c>
    </row>
    <row r="195" spans="1:17" x14ac:dyDescent="0.3">
      <c r="A195" s="12" t="s">
        <v>467</v>
      </c>
      <c r="B195" s="12" t="s">
        <v>468</v>
      </c>
      <c r="C195" s="12" t="s">
        <v>18</v>
      </c>
      <c r="D195" s="12">
        <v>44</v>
      </c>
      <c r="E195" s="12" t="s">
        <v>55</v>
      </c>
      <c r="F195" s="12" t="s">
        <v>15</v>
      </c>
      <c r="G195" s="12" t="s">
        <v>130</v>
      </c>
      <c r="H195" s="12" t="s">
        <v>62</v>
      </c>
      <c r="I195" s="12">
        <v>20</v>
      </c>
      <c r="J195" s="12">
        <v>80772</v>
      </c>
      <c r="K195" s="12">
        <v>92.8</v>
      </c>
      <c r="L195" s="12">
        <v>16</v>
      </c>
      <c r="M195" s="12">
        <v>41</v>
      </c>
      <c r="N195" s="12">
        <v>24</v>
      </c>
      <c r="O195" s="12" t="s">
        <v>20</v>
      </c>
      <c r="P195" s="12">
        <v>7.97</v>
      </c>
      <c r="Q195" s="12" t="s">
        <v>23</v>
      </c>
    </row>
    <row r="196" spans="1:17" x14ac:dyDescent="0.3">
      <c r="A196" s="12" t="s">
        <v>469</v>
      </c>
      <c r="B196" s="12" t="s">
        <v>470</v>
      </c>
      <c r="C196" s="12" t="s">
        <v>19</v>
      </c>
      <c r="D196" s="12">
        <v>40</v>
      </c>
      <c r="E196" s="12" t="s">
        <v>55</v>
      </c>
      <c r="F196" s="12" t="s">
        <v>14</v>
      </c>
      <c r="G196" s="12" t="s">
        <v>110</v>
      </c>
      <c r="H196" s="12" t="s">
        <v>57</v>
      </c>
      <c r="I196" s="12">
        <v>7</v>
      </c>
      <c r="J196" s="12">
        <v>157893</v>
      </c>
      <c r="K196" s="12">
        <v>81.14</v>
      </c>
      <c r="L196" s="12">
        <v>10</v>
      </c>
      <c r="M196" s="12">
        <v>30</v>
      </c>
      <c r="N196" s="12">
        <v>80</v>
      </c>
      <c r="O196" s="12" t="s">
        <v>20</v>
      </c>
      <c r="P196" s="12">
        <v>8.39</v>
      </c>
      <c r="Q196" s="12" t="s">
        <v>23</v>
      </c>
    </row>
    <row r="197" spans="1:17" x14ac:dyDescent="0.3">
      <c r="A197" s="12" t="s">
        <v>471</v>
      </c>
      <c r="B197" s="12" t="s">
        <v>472</v>
      </c>
      <c r="C197" s="12" t="s">
        <v>18</v>
      </c>
      <c r="D197" s="12">
        <v>56</v>
      </c>
      <c r="E197" s="12" t="s">
        <v>55</v>
      </c>
      <c r="F197" s="12" t="s">
        <v>17</v>
      </c>
      <c r="G197" s="12" t="s">
        <v>99</v>
      </c>
      <c r="H197" s="12" t="s">
        <v>86</v>
      </c>
      <c r="I197" s="12">
        <v>30</v>
      </c>
      <c r="J197" s="12">
        <v>56906</v>
      </c>
      <c r="K197" s="12">
        <v>77.95</v>
      </c>
      <c r="L197" s="12">
        <v>17</v>
      </c>
      <c r="M197" s="12">
        <v>30</v>
      </c>
      <c r="N197" s="12">
        <v>17</v>
      </c>
      <c r="O197" s="12" t="s">
        <v>21</v>
      </c>
      <c r="P197" s="12">
        <v>8.58</v>
      </c>
      <c r="Q197" s="12" t="s">
        <v>24</v>
      </c>
    </row>
    <row r="198" spans="1:17" x14ac:dyDescent="0.3">
      <c r="A198" s="12" t="s">
        <v>473</v>
      </c>
      <c r="B198" s="12" t="s">
        <v>474</v>
      </c>
      <c r="C198" s="12" t="s">
        <v>19</v>
      </c>
      <c r="D198" s="12">
        <v>51</v>
      </c>
      <c r="E198" s="12" t="s">
        <v>80</v>
      </c>
      <c r="F198" s="12" t="s">
        <v>17</v>
      </c>
      <c r="G198" s="12" t="s">
        <v>135</v>
      </c>
      <c r="H198" s="12" t="s">
        <v>57</v>
      </c>
      <c r="I198" s="12">
        <v>12</v>
      </c>
      <c r="J198" s="12">
        <v>102787</v>
      </c>
      <c r="K198" s="12">
        <v>77.45</v>
      </c>
      <c r="L198" s="12">
        <v>4</v>
      </c>
      <c r="M198" s="12">
        <v>26</v>
      </c>
      <c r="N198" s="12">
        <v>68</v>
      </c>
      <c r="O198" s="12" t="s">
        <v>20</v>
      </c>
      <c r="P198" s="12">
        <v>6.66</v>
      </c>
      <c r="Q198" s="12" t="s">
        <v>23</v>
      </c>
    </row>
    <row r="199" spans="1:17" x14ac:dyDescent="0.3">
      <c r="A199" s="12" t="s">
        <v>475</v>
      </c>
      <c r="B199" s="12" t="s">
        <v>476</v>
      </c>
      <c r="C199" s="12" t="s">
        <v>19</v>
      </c>
      <c r="D199" s="12">
        <v>32</v>
      </c>
      <c r="E199" s="12" t="s">
        <v>60</v>
      </c>
      <c r="F199" s="12" t="s">
        <v>17</v>
      </c>
      <c r="G199" s="12" t="s">
        <v>102</v>
      </c>
      <c r="H199" s="12" t="s">
        <v>57</v>
      </c>
      <c r="I199" s="12">
        <v>11</v>
      </c>
      <c r="J199" s="12">
        <v>108545</v>
      </c>
      <c r="K199" s="12">
        <v>76.900000000000006</v>
      </c>
      <c r="L199" s="12">
        <v>18</v>
      </c>
      <c r="M199" s="12">
        <v>51</v>
      </c>
      <c r="N199" s="12">
        <v>79</v>
      </c>
      <c r="O199" s="12" t="s">
        <v>20</v>
      </c>
      <c r="P199" s="12">
        <v>7.42</v>
      </c>
      <c r="Q199" s="12" t="s">
        <v>23</v>
      </c>
    </row>
    <row r="200" spans="1:17" x14ac:dyDescent="0.3">
      <c r="A200" s="12" t="s">
        <v>477</v>
      </c>
      <c r="B200" s="12" t="s">
        <v>478</v>
      </c>
      <c r="C200" s="12" t="s">
        <v>19</v>
      </c>
      <c r="D200" s="12">
        <v>55</v>
      </c>
      <c r="E200" s="12" t="s">
        <v>55</v>
      </c>
      <c r="F200" s="12" t="s">
        <v>15</v>
      </c>
      <c r="G200" s="12" t="s">
        <v>73</v>
      </c>
      <c r="H200" s="12" t="s">
        <v>57</v>
      </c>
      <c r="I200" s="12">
        <v>34</v>
      </c>
      <c r="J200" s="12">
        <v>111516</v>
      </c>
      <c r="K200" s="12">
        <v>72.599999999999994</v>
      </c>
      <c r="L200" s="12">
        <v>13</v>
      </c>
      <c r="M200" s="12">
        <v>14</v>
      </c>
      <c r="N200" s="12">
        <v>48</v>
      </c>
      <c r="O200" s="12" t="s">
        <v>21</v>
      </c>
      <c r="P200" s="12">
        <v>8.77</v>
      </c>
      <c r="Q200" s="12" t="s">
        <v>24</v>
      </c>
    </row>
    <row r="201" spans="1:17" x14ac:dyDescent="0.3">
      <c r="A201" s="12" t="s">
        <v>479</v>
      </c>
      <c r="B201" s="12" t="s">
        <v>480</v>
      </c>
      <c r="C201" s="12" t="s">
        <v>19</v>
      </c>
      <c r="D201" s="12">
        <v>27</v>
      </c>
      <c r="E201" s="12" t="s">
        <v>65</v>
      </c>
      <c r="F201" s="12" t="s">
        <v>12</v>
      </c>
      <c r="G201" s="12" t="s">
        <v>92</v>
      </c>
      <c r="H201" s="12" t="s">
        <v>86</v>
      </c>
      <c r="I201" s="12">
        <v>0</v>
      </c>
      <c r="J201" s="12">
        <v>145711</v>
      </c>
      <c r="K201" s="12">
        <v>96.12</v>
      </c>
      <c r="L201" s="12">
        <v>12</v>
      </c>
      <c r="M201" s="12">
        <v>36</v>
      </c>
      <c r="N201" s="12">
        <v>26</v>
      </c>
      <c r="O201" s="12" t="s">
        <v>21</v>
      </c>
      <c r="P201" s="12">
        <v>7.46</v>
      </c>
      <c r="Q201" s="12" t="s">
        <v>23</v>
      </c>
    </row>
    <row r="202" spans="1:17" x14ac:dyDescent="0.3">
      <c r="A202" s="12" t="s">
        <v>481</v>
      </c>
      <c r="B202" s="12" t="s">
        <v>482</v>
      </c>
      <c r="C202" s="12" t="s">
        <v>19</v>
      </c>
      <c r="D202" s="12">
        <v>33</v>
      </c>
      <c r="E202" s="12" t="s">
        <v>69</v>
      </c>
      <c r="F202" s="12" t="s">
        <v>13</v>
      </c>
      <c r="G202" s="12" t="s">
        <v>56</v>
      </c>
      <c r="H202" s="12" t="s">
        <v>57</v>
      </c>
      <c r="I202" s="12">
        <v>5</v>
      </c>
      <c r="J202" s="12">
        <v>42033</v>
      </c>
      <c r="K202" s="12">
        <v>70.88</v>
      </c>
      <c r="L202" s="12">
        <v>2</v>
      </c>
      <c r="M202" s="12">
        <v>52</v>
      </c>
      <c r="N202" s="12">
        <v>42</v>
      </c>
      <c r="O202" s="12" t="s">
        <v>21</v>
      </c>
      <c r="P202" s="12">
        <v>4.12</v>
      </c>
      <c r="Q202" s="12" t="s">
        <v>23</v>
      </c>
    </row>
    <row r="203" spans="1:17" x14ac:dyDescent="0.3">
      <c r="A203" s="12" t="s">
        <v>483</v>
      </c>
      <c r="B203" s="12" t="s">
        <v>484</v>
      </c>
      <c r="C203" s="12" t="s">
        <v>18</v>
      </c>
      <c r="D203" s="12">
        <v>51</v>
      </c>
      <c r="E203" s="12" t="s">
        <v>91</v>
      </c>
      <c r="F203" s="12" t="s">
        <v>13</v>
      </c>
      <c r="G203" s="12" t="s">
        <v>56</v>
      </c>
      <c r="H203" s="12" t="s">
        <v>62</v>
      </c>
      <c r="I203" s="12">
        <v>20</v>
      </c>
      <c r="J203" s="12">
        <v>92607</v>
      </c>
      <c r="K203" s="12">
        <v>96.71</v>
      </c>
      <c r="L203" s="12">
        <v>7</v>
      </c>
      <c r="M203" s="12">
        <v>0</v>
      </c>
      <c r="N203" s="12">
        <v>42</v>
      </c>
      <c r="O203" s="12" t="s">
        <v>20</v>
      </c>
      <c r="P203" s="12">
        <v>8.56</v>
      </c>
      <c r="Q203" s="12" t="s">
        <v>24</v>
      </c>
    </row>
    <row r="204" spans="1:17" x14ac:dyDescent="0.3">
      <c r="A204" s="12" t="s">
        <v>485</v>
      </c>
      <c r="B204" s="12" t="s">
        <v>486</v>
      </c>
      <c r="C204" s="12" t="s">
        <v>19</v>
      </c>
      <c r="D204" s="12">
        <v>42</v>
      </c>
      <c r="E204" s="12" t="s">
        <v>65</v>
      </c>
      <c r="F204" s="12" t="s">
        <v>13</v>
      </c>
      <c r="G204" s="12" t="s">
        <v>66</v>
      </c>
      <c r="H204" s="12" t="s">
        <v>57</v>
      </c>
      <c r="I204" s="12">
        <v>13</v>
      </c>
      <c r="J204" s="12">
        <v>62791</v>
      </c>
      <c r="K204" s="12">
        <v>95.43</v>
      </c>
      <c r="L204" s="12">
        <v>17</v>
      </c>
      <c r="M204" s="12">
        <v>30</v>
      </c>
      <c r="N204" s="12">
        <v>95</v>
      </c>
      <c r="O204" s="12" t="s">
        <v>21</v>
      </c>
      <c r="P204" s="12">
        <v>10</v>
      </c>
      <c r="Q204" s="12" t="s">
        <v>24</v>
      </c>
    </row>
    <row r="205" spans="1:17" x14ac:dyDescent="0.3">
      <c r="A205" s="12" t="s">
        <v>487</v>
      </c>
      <c r="B205" s="12" t="s">
        <v>488</v>
      </c>
      <c r="C205" s="12" t="s">
        <v>18</v>
      </c>
      <c r="D205" s="12">
        <v>47</v>
      </c>
      <c r="E205" s="12" t="s">
        <v>80</v>
      </c>
      <c r="F205" s="12" t="s">
        <v>14</v>
      </c>
      <c r="G205" s="12" t="s">
        <v>70</v>
      </c>
      <c r="H205" s="12" t="s">
        <v>62</v>
      </c>
      <c r="I205" s="12">
        <v>7</v>
      </c>
      <c r="J205" s="12">
        <v>112912</v>
      </c>
      <c r="K205" s="12">
        <v>69.09</v>
      </c>
      <c r="L205" s="12">
        <v>2</v>
      </c>
      <c r="M205" s="12">
        <v>32</v>
      </c>
      <c r="N205" s="12">
        <v>104</v>
      </c>
      <c r="O205" s="12" t="s">
        <v>20</v>
      </c>
      <c r="P205" s="12">
        <v>6.07</v>
      </c>
      <c r="Q205" s="12" t="s">
        <v>23</v>
      </c>
    </row>
    <row r="206" spans="1:17" x14ac:dyDescent="0.3">
      <c r="A206" s="12" t="s">
        <v>489</v>
      </c>
      <c r="B206" s="12" t="s">
        <v>490</v>
      </c>
      <c r="C206" s="12" t="s">
        <v>18</v>
      </c>
      <c r="D206" s="12">
        <v>28</v>
      </c>
      <c r="E206" s="12" t="s">
        <v>91</v>
      </c>
      <c r="F206" s="12" t="s">
        <v>15</v>
      </c>
      <c r="G206" s="12" t="s">
        <v>61</v>
      </c>
      <c r="H206" s="12" t="s">
        <v>86</v>
      </c>
      <c r="I206" s="12">
        <v>5</v>
      </c>
      <c r="J206" s="12">
        <v>110601</v>
      </c>
      <c r="K206" s="12">
        <v>81.84</v>
      </c>
      <c r="L206" s="12">
        <v>2</v>
      </c>
      <c r="M206" s="12">
        <v>0</v>
      </c>
      <c r="N206" s="12">
        <v>37</v>
      </c>
      <c r="O206" s="12" t="s">
        <v>20</v>
      </c>
      <c r="P206" s="12">
        <v>6.53</v>
      </c>
      <c r="Q206" s="12" t="s">
        <v>23</v>
      </c>
    </row>
    <row r="207" spans="1:17" x14ac:dyDescent="0.3">
      <c r="A207" s="12" t="s">
        <v>491</v>
      </c>
      <c r="B207" s="12" t="s">
        <v>492</v>
      </c>
      <c r="C207" s="12" t="s">
        <v>18</v>
      </c>
      <c r="D207" s="12">
        <v>46</v>
      </c>
      <c r="E207" s="12" t="s">
        <v>80</v>
      </c>
      <c r="F207" s="12" t="s">
        <v>15</v>
      </c>
      <c r="G207" s="12" t="s">
        <v>73</v>
      </c>
      <c r="H207" s="12" t="s">
        <v>77</v>
      </c>
      <c r="I207" s="12">
        <v>20</v>
      </c>
      <c r="J207" s="12">
        <v>121067</v>
      </c>
      <c r="K207" s="12">
        <v>73.64</v>
      </c>
      <c r="L207" s="12">
        <v>17</v>
      </c>
      <c r="M207" s="12">
        <v>49</v>
      </c>
      <c r="N207" s="12">
        <v>82</v>
      </c>
      <c r="O207" s="12" t="s">
        <v>22</v>
      </c>
      <c r="P207" s="12">
        <v>7.85</v>
      </c>
      <c r="Q207" s="12" t="s">
        <v>23</v>
      </c>
    </row>
    <row r="208" spans="1:17" x14ac:dyDescent="0.3">
      <c r="A208" s="12" t="s">
        <v>493</v>
      </c>
      <c r="B208" s="12" t="s">
        <v>494</v>
      </c>
      <c r="C208" s="12" t="s">
        <v>19</v>
      </c>
      <c r="D208" s="12">
        <v>29</v>
      </c>
      <c r="E208" s="12" t="s">
        <v>69</v>
      </c>
      <c r="F208" s="12" t="s">
        <v>15</v>
      </c>
      <c r="G208" s="12" t="s">
        <v>130</v>
      </c>
      <c r="H208" s="12" t="s">
        <v>77</v>
      </c>
      <c r="I208" s="12">
        <v>7</v>
      </c>
      <c r="J208" s="12">
        <v>33820</v>
      </c>
      <c r="K208" s="12">
        <v>90.84</v>
      </c>
      <c r="L208" s="12">
        <v>3</v>
      </c>
      <c r="M208" s="12">
        <v>40</v>
      </c>
      <c r="N208" s="12">
        <v>24</v>
      </c>
      <c r="O208" s="12" t="s">
        <v>21</v>
      </c>
      <c r="P208" s="12">
        <v>5.61</v>
      </c>
      <c r="Q208" s="12" t="s">
        <v>23</v>
      </c>
    </row>
    <row r="209" spans="1:17" x14ac:dyDescent="0.3">
      <c r="A209" s="12" t="s">
        <v>495</v>
      </c>
      <c r="B209" s="12" t="s">
        <v>496</v>
      </c>
      <c r="C209" s="12" t="s">
        <v>18</v>
      </c>
      <c r="D209" s="12">
        <v>51</v>
      </c>
      <c r="E209" s="12" t="s">
        <v>55</v>
      </c>
      <c r="F209" s="12" t="s">
        <v>17</v>
      </c>
      <c r="G209" s="12" t="s">
        <v>135</v>
      </c>
      <c r="H209" s="12" t="s">
        <v>62</v>
      </c>
      <c r="I209" s="12">
        <v>9</v>
      </c>
      <c r="J209" s="12">
        <v>112521</v>
      </c>
      <c r="K209" s="12">
        <v>96.7</v>
      </c>
      <c r="L209" s="12">
        <v>10</v>
      </c>
      <c r="M209" s="12">
        <v>9</v>
      </c>
      <c r="N209" s="12">
        <v>42</v>
      </c>
      <c r="O209" s="12" t="s">
        <v>21</v>
      </c>
      <c r="P209" s="12">
        <v>7.61</v>
      </c>
      <c r="Q209" s="12" t="s">
        <v>23</v>
      </c>
    </row>
    <row r="210" spans="1:17" x14ac:dyDescent="0.3">
      <c r="A210" s="12" t="s">
        <v>497</v>
      </c>
      <c r="B210" s="12" t="s">
        <v>498</v>
      </c>
      <c r="C210" s="12" t="s">
        <v>19</v>
      </c>
      <c r="D210" s="12">
        <v>48</v>
      </c>
      <c r="E210" s="12" t="s">
        <v>69</v>
      </c>
      <c r="F210" s="12" t="s">
        <v>16</v>
      </c>
      <c r="G210" s="12" t="s">
        <v>181</v>
      </c>
      <c r="H210" s="12" t="s">
        <v>86</v>
      </c>
      <c r="I210" s="12">
        <v>5</v>
      </c>
      <c r="J210" s="12">
        <v>109884</v>
      </c>
      <c r="K210" s="12">
        <v>98.9</v>
      </c>
      <c r="L210" s="12">
        <v>17</v>
      </c>
      <c r="M210" s="12">
        <v>50</v>
      </c>
      <c r="N210" s="12">
        <v>21</v>
      </c>
      <c r="O210" s="12" t="s">
        <v>22</v>
      </c>
      <c r="P210" s="12">
        <v>7.84</v>
      </c>
      <c r="Q210" s="12" t="s">
        <v>23</v>
      </c>
    </row>
    <row r="211" spans="1:17" x14ac:dyDescent="0.3">
      <c r="A211" s="12" t="s">
        <v>499</v>
      </c>
      <c r="B211" s="12" t="s">
        <v>500</v>
      </c>
      <c r="C211" s="12" t="s">
        <v>19</v>
      </c>
      <c r="D211" s="12">
        <v>23</v>
      </c>
      <c r="E211" s="12" t="s">
        <v>69</v>
      </c>
      <c r="F211" s="12" t="s">
        <v>17</v>
      </c>
      <c r="G211" s="12" t="s">
        <v>102</v>
      </c>
      <c r="H211" s="12" t="s">
        <v>77</v>
      </c>
      <c r="I211" s="12">
        <v>0</v>
      </c>
      <c r="J211" s="12">
        <v>79183</v>
      </c>
      <c r="K211" s="12">
        <v>98.09</v>
      </c>
      <c r="L211" s="12">
        <v>10</v>
      </c>
      <c r="M211" s="12">
        <v>59</v>
      </c>
      <c r="N211" s="12">
        <v>34</v>
      </c>
      <c r="O211" s="12" t="s">
        <v>20</v>
      </c>
      <c r="P211" s="12">
        <v>7.18</v>
      </c>
      <c r="Q211" s="12" t="s">
        <v>23</v>
      </c>
    </row>
    <row r="212" spans="1:17" x14ac:dyDescent="0.3">
      <c r="A212" s="12" t="s">
        <v>501</v>
      </c>
      <c r="B212" s="12" t="s">
        <v>502</v>
      </c>
      <c r="C212" s="12" t="s">
        <v>19</v>
      </c>
      <c r="D212" s="12">
        <v>49</v>
      </c>
      <c r="E212" s="12" t="s">
        <v>60</v>
      </c>
      <c r="F212" s="12" t="s">
        <v>12</v>
      </c>
      <c r="G212" s="12" t="s">
        <v>92</v>
      </c>
      <c r="H212" s="12" t="s">
        <v>57</v>
      </c>
      <c r="I212" s="12">
        <v>26</v>
      </c>
      <c r="J212" s="12">
        <v>87810</v>
      </c>
      <c r="K212" s="12">
        <v>71.13</v>
      </c>
      <c r="L212" s="12">
        <v>2</v>
      </c>
      <c r="M212" s="12">
        <v>49</v>
      </c>
      <c r="N212" s="12">
        <v>71</v>
      </c>
      <c r="O212" s="12" t="s">
        <v>22</v>
      </c>
      <c r="P212" s="12">
        <v>6.75</v>
      </c>
      <c r="Q212" s="12" t="s">
        <v>23</v>
      </c>
    </row>
    <row r="213" spans="1:17" x14ac:dyDescent="0.3">
      <c r="A213" s="12" t="s">
        <v>503</v>
      </c>
      <c r="B213" s="12" t="s">
        <v>504</v>
      </c>
      <c r="C213" s="12" t="s">
        <v>18</v>
      </c>
      <c r="D213" s="12">
        <v>34</v>
      </c>
      <c r="E213" s="12" t="s">
        <v>60</v>
      </c>
      <c r="F213" s="12" t="s">
        <v>12</v>
      </c>
      <c r="G213" s="12" t="s">
        <v>92</v>
      </c>
      <c r="H213" s="12" t="s">
        <v>57</v>
      </c>
      <c r="I213" s="12">
        <v>9</v>
      </c>
      <c r="J213" s="12">
        <v>70287</v>
      </c>
      <c r="K213" s="12">
        <v>82.72</v>
      </c>
      <c r="L213" s="12">
        <v>18</v>
      </c>
      <c r="M213" s="12">
        <v>35</v>
      </c>
      <c r="N213" s="12">
        <v>26</v>
      </c>
      <c r="O213" s="12" t="s">
        <v>22</v>
      </c>
      <c r="P213" s="12">
        <v>6.83</v>
      </c>
      <c r="Q213" s="12" t="s">
        <v>23</v>
      </c>
    </row>
    <row r="214" spans="1:17" x14ac:dyDescent="0.3">
      <c r="A214" s="12" t="s">
        <v>505</v>
      </c>
      <c r="B214" s="12" t="s">
        <v>506</v>
      </c>
      <c r="C214" s="12" t="s">
        <v>18</v>
      </c>
      <c r="D214" s="12">
        <v>23</v>
      </c>
      <c r="E214" s="12" t="s">
        <v>91</v>
      </c>
      <c r="F214" s="12" t="s">
        <v>16</v>
      </c>
      <c r="G214" s="12" t="s">
        <v>181</v>
      </c>
      <c r="H214" s="12" t="s">
        <v>57</v>
      </c>
      <c r="I214" s="12">
        <v>2</v>
      </c>
      <c r="J214" s="12">
        <v>65886</v>
      </c>
      <c r="K214" s="12">
        <v>96.67</v>
      </c>
      <c r="L214" s="12">
        <v>2</v>
      </c>
      <c r="M214" s="12">
        <v>35</v>
      </c>
      <c r="N214" s="12">
        <v>86</v>
      </c>
      <c r="O214" s="12" t="s">
        <v>21</v>
      </c>
      <c r="P214" s="12">
        <v>6</v>
      </c>
      <c r="Q214" s="12" t="s">
        <v>23</v>
      </c>
    </row>
    <row r="215" spans="1:17" x14ac:dyDescent="0.3">
      <c r="A215" s="12" t="s">
        <v>507</v>
      </c>
      <c r="B215" s="12" t="s">
        <v>508</v>
      </c>
      <c r="C215" s="12" t="s">
        <v>19</v>
      </c>
      <c r="D215" s="12">
        <v>38</v>
      </c>
      <c r="E215" s="12" t="s">
        <v>69</v>
      </c>
      <c r="F215" s="12" t="s">
        <v>15</v>
      </c>
      <c r="G215" s="12" t="s">
        <v>73</v>
      </c>
      <c r="H215" s="12" t="s">
        <v>77</v>
      </c>
      <c r="I215" s="12">
        <v>12</v>
      </c>
      <c r="J215" s="12">
        <v>88679</v>
      </c>
      <c r="K215" s="12">
        <v>66.95</v>
      </c>
      <c r="L215" s="12">
        <v>18</v>
      </c>
      <c r="M215" s="12">
        <v>21</v>
      </c>
      <c r="N215" s="12">
        <v>64</v>
      </c>
      <c r="O215" s="12" t="s">
        <v>22</v>
      </c>
      <c r="P215" s="12">
        <v>7.28</v>
      </c>
      <c r="Q215" s="12" t="s">
        <v>23</v>
      </c>
    </row>
    <row r="216" spans="1:17" x14ac:dyDescent="0.3">
      <c r="A216" s="12" t="s">
        <v>509</v>
      </c>
      <c r="B216" s="12" t="s">
        <v>510</v>
      </c>
      <c r="C216" s="12" t="s">
        <v>18</v>
      </c>
      <c r="D216" s="12">
        <v>57</v>
      </c>
      <c r="E216" s="12" t="s">
        <v>80</v>
      </c>
      <c r="F216" s="12" t="s">
        <v>17</v>
      </c>
      <c r="G216" s="12" t="s">
        <v>102</v>
      </c>
      <c r="H216" s="12" t="s">
        <v>86</v>
      </c>
      <c r="I216" s="12">
        <v>15</v>
      </c>
      <c r="J216" s="12">
        <v>95133</v>
      </c>
      <c r="K216" s="12">
        <v>77.7</v>
      </c>
      <c r="L216" s="12">
        <v>13</v>
      </c>
      <c r="M216" s="12">
        <v>50</v>
      </c>
      <c r="N216" s="12">
        <v>16</v>
      </c>
      <c r="O216" s="12" t="s">
        <v>22</v>
      </c>
      <c r="P216" s="12">
        <v>6.98</v>
      </c>
      <c r="Q216" s="12" t="s">
        <v>23</v>
      </c>
    </row>
    <row r="217" spans="1:17" x14ac:dyDescent="0.3">
      <c r="A217" s="12" t="s">
        <v>511</v>
      </c>
      <c r="B217" s="12" t="s">
        <v>512</v>
      </c>
      <c r="C217" s="12" t="s">
        <v>18</v>
      </c>
      <c r="D217" s="12">
        <v>57</v>
      </c>
      <c r="E217" s="12" t="s">
        <v>69</v>
      </c>
      <c r="F217" s="12" t="s">
        <v>17</v>
      </c>
      <c r="G217" s="12" t="s">
        <v>99</v>
      </c>
      <c r="H217" s="12" t="s">
        <v>62</v>
      </c>
      <c r="I217" s="12">
        <v>0</v>
      </c>
      <c r="J217" s="12">
        <v>109097</v>
      </c>
      <c r="K217" s="12">
        <v>84.72</v>
      </c>
      <c r="L217" s="12">
        <v>18</v>
      </c>
      <c r="M217" s="12">
        <v>56</v>
      </c>
      <c r="N217" s="12">
        <v>75</v>
      </c>
      <c r="O217" s="12" t="s">
        <v>22</v>
      </c>
      <c r="P217" s="12">
        <v>8.99</v>
      </c>
      <c r="Q217" s="12" t="s">
        <v>23</v>
      </c>
    </row>
    <row r="218" spans="1:17" x14ac:dyDescent="0.3">
      <c r="A218" s="12" t="s">
        <v>513</v>
      </c>
      <c r="B218" s="12" t="s">
        <v>514</v>
      </c>
      <c r="C218" s="12" t="s">
        <v>18</v>
      </c>
      <c r="D218" s="12">
        <v>49</v>
      </c>
      <c r="E218" s="12" t="s">
        <v>91</v>
      </c>
      <c r="F218" s="12" t="s">
        <v>16</v>
      </c>
      <c r="G218" s="12" t="s">
        <v>181</v>
      </c>
      <c r="H218" s="12" t="s">
        <v>62</v>
      </c>
      <c r="I218" s="12">
        <v>13</v>
      </c>
      <c r="J218" s="12">
        <v>77796</v>
      </c>
      <c r="K218" s="12">
        <v>76.55</v>
      </c>
      <c r="L218" s="12">
        <v>8</v>
      </c>
      <c r="M218" s="12">
        <v>16</v>
      </c>
      <c r="N218" s="12">
        <v>64</v>
      </c>
      <c r="O218" s="12" t="s">
        <v>21</v>
      </c>
      <c r="P218" s="12">
        <v>6.4</v>
      </c>
      <c r="Q218" s="12" t="s">
        <v>23</v>
      </c>
    </row>
    <row r="219" spans="1:17" x14ac:dyDescent="0.3">
      <c r="A219" s="12" t="s">
        <v>515</v>
      </c>
      <c r="B219" s="12" t="s">
        <v>516</v>
      </c>
      <c r="C219" s="12" t="s">
        <v>18</v>
      </c>
      <c r="D219" s="12">
        <v>52</v>
      </c>
      <c r="E219" s="12" t="s">
        <v>55</v>
      </c>
      <c r="F219" s="12" t="s">
        <v>12</v>
      </c>
      <c r="G219" s="12" t="s">
        <v>92</v>
      </c>
      <c r="H219" s="12" t="s">
        <v>77</v>
      </c>
      <c r="I219" s="12">
        <v>28</v>
      </c>
      <c r="J219" s="12">
        <v>63102</v>
      </c>
      <c r="K219" s="12">
        <v>71.52</v>
      </c>
      <c r="L219" s="12">
        <v>17</v>
      </c>
      <c r="M219" s="12">
        <v>47</v>
      </c>
      <c r="N219" s="12">
        <v>33</v>
      </c>
      <c r="O219" s="12" t="s">
        <v>21</v>
      </c>
      <c r="P219" s="12">
        <v>8.83</v>
      </c>
      <c r="Q219" s="12" t="s">
        <v>24</v>
      </c>
    </row>
    <row r="220" spans="1:17" x14ac:dyDescent="0.3">
      <c r="A220" s="12" t="s">
        <v>517</v>
      </c>
      <c r="B220" s="12" t="s">
        <v>0</v>
      </c>
      <c r="C220" s="12" t="s">
        <v>18</v>
      </c>
      <c r="D220" s="12">
        <v>51</v>
      </c>
      <c r="E220" s="12" t="s">
        <v>60</v>
      </c>
      <c r="F220" s="12" t="s">
        <v>16</v>
      </c>
      <c r="G220" s="12" t="s">
        <v>181</v>
      </c>
      <c r="H220" s="12" t="s">
        <v>57</v>
      </c>
      <c r="I220" s="12">
        <v>28</v>
      </c>
      <c r="J220" s="12">
        <v>35204</v>
      </c>
      <c r="K220" s="12">
        <v>97.5</v>
      </c>
      <c r="L220" s="12">
        <v>2</v>
      </c>
      <c r="M220" s="12">
        <v>22</v>
      </c>
      <c r="N220" s="12">
        <v>12</v>
      </c>
      <c r="O220" s="12" t="s">
        <v>22</v>
      </c>
      <c r="P220" s="12">
        <v>6.22</v>
      </c>
      <c r="Q220" s="12" t="s">
        <v>23</v>
      </c>
    </row>
    <row r="221" spans="1:17" x14ac:dyDescent="0.3">
      <c r="A221" s="12" t="s">
        <v>518</v>
      </c>
      <c r="B221" s="12" t="s">
        <v>519</v>
      </c>
      <c r="C221" s="12" t="s">
        <v>18</v>
      </c>
      <c r="D221" s="12">
        <v>39</v>
      </c>
      <c r="E221" s="12" t="s">
        <v>60</v>
      </c>
      <c r="F221" s="12" t="s">
        <v>16</v>
      </c>
      <c r="G221" s="12" t="s">
        <v>181</v>
      </c>
      <c r="H221" s="12" t="s">
        <v>77</v>
      </c>
      <c r="I221" s="12">
        <v>4</v>
      </c>
      <c r="J221" s="12">
        <v>48766</v>
      </c>
      <c r="K221" s="12">
        <v>76.599999999999994</v>
      </c>
      <c r="L221" s="12">
        <v>16</v>
      </c>
      <c r="M221" s="12">
        <v>52</v>
      </c>
      <c r="N221" s="12">
        <v>75</v>
      </c>
      <c r="O221" s="12" t="s">
        <v>20</v>
      </c>
      <c r="P221" s="12">
        <v>8.09</v>
      </c>
      <c r="Q221" s="12" t="s">
        <v>23</v>
      </c>
    </row>
    <row r="222" spans="1:17" x14ac:dyDescent="0.3">
      <c r="A222" s="12" t="s">
        <v>520</v>
      </c>
      <c r="B222" s="12" t="s">
        <v>521</v>
      </c>
      <c r="C222" s="12" t="s">
        <v>19</v>
      </c>
      <c r="D222" s="12">
        <v>30</v>
      </c>
      <c r="E222" s="12" t="s">
        <v>65</v>
      </c>
      <c r="F222" s="12" t="s">
        <v>13</v>
      </c>
      <c r="G222" s="12" t="s">
        <v>107</v>
      </c>
      <c r="H222" s="12" t="s">
        <v>62</v>
      </c>
      <c r="I222" s="12">
        <v>8</v>
      </c>
      <c r="J222" s="12">
        <v>47283</v>
      </c>
      <c r="K222" s="12">
        <v>71.5</v>
      </c>
      <c r="L222" s="12">
        <v>18</v>
      </c>
      <c r="M222" s="12">
        <v>7</v>
      </c>
      <c r="N222" s="12">
        <v>35</v>
      </c>
      <c r="O222" s="12" t="s">
        <v>22</v>
      </c>
      <c r="P222" s="12">
        <v>6.64</v>
      </c>
      <c r="Q222" s="12" t="s">
        <v>23</v>
      </c>
    </row>
    <row r="223" spans="1:17" x14ac:dyDescent="0.3">
      <c r="A223" s="12" t="s">
        <v>522</v>
      </c>
      <c r="B223" s="12" t="s">
        <v>523</v>
      </c>
      <c r="C223" s="12" t="s">
        <v>18</v>
      </c>
      <c r="D223" s="12">
        <v>44</v>
      </c>
      <c r="E223" s="12" t="s">
        <v>60</v>
      </c>
      <c r="F223" s="12" t="s">
        <v>16</v>
      </c>
      <c r="G223" s="12" t="s">
        <v>181</v>
      </c>
      <c r="H223" s="12" t="s">
        <v>86</v>
      </c>
      <c r="I223" s="12">
        <v>12</v>
      </c>
      <c r="J223" s="12">
        <v>99347</v>
      </c>
      <c r="K223" s="12">
        <v>79.959999999999994</v>
      </c>
      <c r="L223" s="12">
        <v>19</v>
      </c>
      <c r="M223" s="12">
        <v>58</v>
      </c>
      <c r="N223" s="12">
        <v>44</v>
      </c>
      <c r="O223" s="12" t="s">
        <v>20</v>
      </c>
      <c r="P223" s="12">
        <v>7.32</v>
      </c>
      <c r="Q223" s="12" t="s">
        <v>23</v>
      </c>
    </row>
    <row r="224" spans="1:17" x14ac:dyDescent="0.3">
      <c r="A224" s="12" t="s">
        <v>524</v>
      </c>
      <c r="B224" s="12" t="s">
        <v>525</v>
      </c>
      <c r="C224" s="12" t="s">
        <v>18</v>
      </c>
      <c r="D224" s="12">
        <v>53</v>
      </c>
      <c r="E224" s="12" t="s">
        <v>69</v>
      </c>
      <c r="F224" s="12" t="s">
        <v>15</v>
      </c>
      <c r="G224" s="12" t="s">
        <v>73</v>
      </c>
      <c r="H224" s="12" t="s">
        <v>62</v>
      </c>
      <c r="I224" s="12">
        <v>29</v>
      </c>
      <c r="J224" s="12">
        <v>53290</v>
      </c>
      <c r="K224" s="12">
        <v>81.84</v>
      </c>
      <c r="L224" s="12">
        <v>1</v>
      </c>
      <c r="M224" s="12">
        <v>43</v>
      </c>
      <c r="N224" s="12">
        <v>35</v>
      </c>
      <c r="O224" s="12" t="s">
        <v>22</v>
      </c>
      <c r="P224" s="12">
        <v>6.64</v>
      </c>
      <c r="Q224" s="12" t="s">
        <v>23</v>
      </c>
    </row>
    <row r="225" spans="1:17" x14ac:dyDescent="0.3">
      <c r="A225" s="12" t="s">
        <v>526</v>
      </c>
      <c r="B225" s="12" t="s">
        <v>527</v>
      </c>
      <c r="C225" s="12" t="s">
        <v>18</v>
      </c>
      <c r="D225" s="12">
        <v>46</v>
      </c>
      <c r="E225" s="12" t="s">
        <v>69</v>
      </c>
      <c r="F225" s="12" t="s">
        <v>17</v>
      </c>
      <c r="G225" s="12" t="s">
        <v>135</v>
      </c>
      <c r="H225" s="12" t="s">
        <v>77</v>
      </c>
      <c r="I225" s="12">
        <v>21</v>
      </c>
      <c r="J225" s="12">
        <v>81195</v>
      </c>
      <c r="K225" s="12">
        <v>88.51</v>
      </c>
      <c r="L225" s="12">
        <v>20</v>
      </c>
      <c r="M225" s="12">
        <v>32</v>
      </c>
      <c r="N225" s="12">
        <v>79</v>
      </c>
      <c r="O225" s="12" t="s">
        <v>21</v>
      </c>
      <c r="P225" s="12">
        <v>9.17</v>
      </c>
      <c r="Q225" s="12" t="s">
        <v>24</v>
      </c>
    </row>
    <row r="226" spans="1:17" x14ac:dyDescent="0.3">
      <c r="A226" s="12" t="s">
        <v>528</v>
      </c>
      <c r="B226" s="12" t="s">
        <v>529</v>
      </c>
      <c r="C226" s="12" t="s">
        <v>18</v>
      </c>
      <c r="D226" s="12">
        <v>39</v>
      </c>
      <c r="E226" s="12" t="s">
        <v>69</v>
      </c>
      <c r="F226" s="12" t="s">
        <v>15</v>
      </c>
      <c r="G226" s="12" t="s">
        <v>130</v>
      </c>
      <c r="H226" s="12" t="s">
        <v>86</v>
      </c>
      <c r="I226" s="12">
        <v>15</v>
      </c>
      <c r="J226" s="12">
        <v>124764</v>
      </c>
      <c r="K226" s="12">
        <v>83.57</v>
      </c>
      <c r="L226" s="12">
        <v>1</v>
      </c>
      <c r="M226" s="12">
        <v>24</v>
      </c>
      <c r="N226" s="12">
        <v>47</v>
      </c>
      <c r="O226" s="12" t="s">
        <v>20</v>
      </c>
      <c r="P226" s="12">
        <v>5.55</v>
      </c>
      <c r="Q226" s="12" t="s">
        <v>23</v>
      </c>
    </row>
    <row r="227" spans="1:17" x14ac:dyDescent="0.3">
      <c r="A227" s="12" t="s">
        <v>530</v>
      </c>
      <c r="B227" s="12" t="s">
        <v>531</v>
      </c>
      <c r="C227" s="12" t="s">
        <v>19</v>
      </c>
      <c r="D227" s="12">
        <v>22</v>
      </c>
      <c r="E227" s="12" t="s">
        <v>55</v>
      </c>
      <c r="F227" s="12" t="s">
        <v>16</v>
      </c>
      <c r="G227" s="12" t="s">
        <v>76</v>
      </c>
      <c r="H227" s="12" t="s">
        <v>77</v>
      </c>
      <c r="I227" s="12">
        <v>0</v>
      </c>
      <c r="J227" s="12">
        <v>62837</v>
      </c>
      <c r="K227" s="12">
        <v>81.819999999999993</v>
      </c>
      <c r="L227" s="12">
        <v>7</v>
      </c>
      <c r="M227" s="12">
        <v>8</v>
      </c>
      <c r="N227" s="12">
        <v>93</v>
      </c>
      <c r="O227" s="12" t="s">
        <v>22</v>
      </c>
      <c r="P227" s="12">
        <v>7.51</v>
      </c>
      <c r="Q227" s="12" t="s">
        <v>23</v>
      </c>
    </row>
    <row r="228" spans="1:17" x14ac:dyDescent="0.3">
      <c r="A228" s="12" t="s">
        <v>532</v>
      </c>
      <c r="B228" s="12" t="s">
        <v>533</v>
      </c>
      <c r="C228" s="12" t="s">
        <v>18</v>
      </c>
      <c r="D228" s="12">
        <v>44</v>
      </c>
      <c r="E228" s="12" t="s">
        <v>65</v>
      </c>
      <c r="F228" s="12" t="s">
        <v>15</v>
      </c>
      <c r="G228" s="12" t="s">
        <v>61</v>
      </c>
      <c r="H228" s="12" t="s">
        <v>77</v>
      </c>
      <c r="I228" s="12">
        <v>3</v>
      </c>
      <c r="J228" s="12">
        <v>43732</v>
      </c>
      <c r="K228" s="12">
        <v>72.599999999999994</v>
      </c>
      <c r="L228" s="12">
        <v>5</v>
      </c>
      <c r="M228" s="12">
        <v>21</v>
      </c>
      <c r="N228" s="12">
        <v>91</v>
      </c>
      <c r="O228" s="12" t="s">
        <v>20</v>
      </c>
      <c r="P228" s="12">
        <v>5.78</v>
      </c>
      <c r="Q228" s="12" t="s">
        <v>23</v>
      </c>
    </row>
    <row r="229" spans="1:17" x14ac:dyDescent="0.3">
      <c r="A229" s="12" t="s">
        <v>534</v>
      </c>
      <c r="B229" s="12" t="s">
        <v>535</v>
      </c>
      <c r="C229" s="12" t="s">
        <v>18</v>
      </c>
      <c r="D229" s="12">
        <v>44</v>
      </c>
      <c r="E229" s="12" t="s">
        <v>60</v>
      </c>
      <c r="F229" s="12" t="s">
        <v>12</v>
      </c>
      <c r="G229" s="12" t="s">
        <v>92</v>
      </c>
      <c r="H229" s="12" t="s">
        <v>62</v>
      </c>
      <c r="I229" s="12">
        <v>13</v>
      </c>
      <c r="J229" s="12">
        <v>89895</v>
      </c>
      <c r="K229" s="12">
        <v>72.14</v>
      </c>
      <c r="L229" s="12">
        <v>17</v>
      </c>
      <c r="M229" s="12">
        <v>49</v>
      </c>
      <c r="N229" s="12">
        <v>57</v>
      </c>
      <c r="O229" s="12" t="s">
        <v>22</v>
      </c>
      <c r="P229" s="12">
        <v>7.67</v>
      </c>
      <c r="Q229" s="12" t="s">
        <v>23</v>
      </c>
    </row>
    <row r="230" spans="1:17" x14ac:dyDescent="0.3">
      <c r="A230" s="12" t="s">
        <v>536</v>
      </c>
      <c r="B230" s="12" t="s">
        <v>537</v>
      </c>
      <c r="C230" s="12" t="s">
        <v>18</v>
      </c>
      <c r="D230" s="12">
        <v>30</v>
      </c>
      <c r="E230" s="12" t="s">
        <v>60</v>
      </c>
      <c r="F230" s="12" t="s">
        <v>16</v>
      </c>
      <c r="G230" s="12" t="s">
        <v>76</v>
      </c>
      <c r="H230" s="12" t="s">
        <v>86</v>
      </c>
      <c r="I230" s="12">
        <v>7</v>
      </c>
      <c r="J230" s="12">
        <v>114961</v>
      </c>
      <c r="K230" s="12">
        <v>71.11</v>
      </c>
      <c r="L230" s="12">
        <v>13</v>
      </c>
      <c r="M230" s="12">
        <v>40</v>
      </c>
      <c r="N230" s="12">
        <v>98</v>
      </c>
      <c r="O230" s="12" t="s">
        <v>22</v>
      </c>
      <c r="P230" s="12">
        <v>6.88</v>
      </c>
      <c r="Q230" s="12" t="s">
        <v>23</v>
      </c>
    </row>
    <row r="231" spans="1:17" x14ac:dyDescent="0.3">
      <c r="A231" s="12" t="s">
        <v>538</v>
      </c>
      <c r="B231" s="12" t="s">
        <v>539</v>
      </c>
      <c r="C231" s="12" t="s">
        <v>19</v>
      </c>
      <c r="D231" s="12">
        <v>32</v>
      </c>
      <c r="E231" s="12" t="s">
        <v>60</v>
      </c>
      <c r="F231" s="12" t="s">
        <v>16</v>
      </c>
      <c r="G231" s="12" t="s">
        <v>271</v>
      </c>
      <c r="H231" s="12" t="s">
        <v>86</v>
      </c>
      <c r="I231" s="12">
        <v>3</v>
      </c>
      <c r="J231" s="12">
        <v>110831</v>
      </c>
      <c r="K231" s="12">
        <v>93.91</v>
      </c>
      <c r="L231" s="12">
        <v>2</v>
      </c>
      <c r="M231" s="12">
        <v>36</v>
      </c>
      <c r="N231" s="12">
        <v>114</v>
      </c>
      <c r="O231" s="12" t="s">
        <v>20</v>
      </c>
      <c r="P231" s="12">
        <v>6.67</v>
      </c>
      <c r="Q231" s="12" t="s">
        <v>23</v>
      </c>
    </row>
    <row r="232" spans="1:17" x14ac:dyDescent="0.3">
      <c r="A232" s="12" t="s">
        <v>540</v>
      </c>
      <c r="B232" s="12" t="s">
        <v>8</v>
      </c>
      <c r="C232" s="12" t="s">
        <v>19</v>
      </c>
      <c r="D232" s="12">
        <v>40</v>
      </c>
      <c r="E232" s="12" t="s">
        <v>69</v>
      </c>
      <c r="F232" s="12" t="s">
        <v>16</v>
      </c>
      <c r="G232" s="12" t="s">
        <v>271</v>
      </c>
      <c r="H232" s="12" t="s">
        <v>77</v>
      </c>
      <c r="I232" s="12">
        <v>11</v>
      </c>
      <c r="J232" s="12">
        <v>103657</v>
      </c>
      <c r="K232" s="12">
        <v>74.790000000000006</v>
      </c>
      <c r="L232" s="12">
        <v>6</v>
      </c>
      <c r="M232" s="12">
        <v>23</v>
      </c>
      <c r="N232" s="12">
        <v>97</v>
      </c>
      <c r="O232" s="12" t="s">
        <v>21</v>
      </c>
      <c r="P232" s="12">
        <v>6.67</v>
      </c>
      <c r="Q232" s="12" t="s">
        <v>23</v>
      </c>
    </row>
    <row r="233" spans="1:17" x14ac:dyDescent="0.3">
      <c r="A233" s="12" t="s">
        <v>541</v>
      </c>
      <c r="B233" s="12" t="s">
        <v>542</v>
      </c>
      <c r="C233" s="12" t="s">
        <v>19</v>
      </c>
      <c r="D233" s="12">
        <v>44</v>
      </c>
      <c r="E233" s="12" t="s">
        <v>80</v>
      </c>
      <c r="F233" s="12" t="s">
        <v>13</v>
      </c>
      <c r="G233" s="12" t="s">
        <v>56</v>
      </c>
      <c r="H233" s="12" t="s">
        <v>86</v>
      </c>
      <c r="I233" s="12">
        <v>20</v>
      </c>
      <c r="J233" s="12">
        <v>75567</v>
      </c>
      <c r="K233" s="12">
        <v>92.1</v>
      </c>
      <c r="L233" s="12">
        <v>6</v>
      </c>
      <c r="M233" s="12">
        <v>33</v>
      </c>
      <c r="N233" s="12">
        <v>19</v>
      </c>
      <c r="O233" s="12" t="s">
        <v>22</v>
      </c>
      <c r="P233" s="12">
        <v>5.64</v>
      </c>
      <c r="Q233" s="12" t="s">
        <v>23</v>
      </c>
    </row>
    <row r="234" spans="1:17" x14ac:dyDescent="0.3">
      <c r="A234" s="12" t="s">
        <v>543</v>
      </c>
      <c r="B234" s="12" t="s">
        <v>544</v>
      </c>
      <c r="C234" s="12" t="s">
        <v>19</v>
      </c>
      <c r="D234" s="12">
        <v>24</v>
      </c>
      <c r="E234" s="12" t="s">
        <v>55</v>
      </c>
      <c r="F234" s="12" t="s">
        <v>16</v>
      </c>
      <c r="G234" s="12" t="s">
        <v>76</v>
      </c>
      <c r="H234" s="12" t="s">
        <v>77</v>
      </c>
      <c r="I234" s="12">
        <v>3</v>
      </c>
      <c r="J234" s="12">
        <v>101108</v>
      </c>
      <c r="K234" s="12">
        <v>91.5</v>
      </c>
      <c r="L234" s="12">
        <v>5</v>
      </c>
      <c r="M234" s="12">
        <v>38</v>
      </c>
      <c r="N234" s="12">
        <v>77</v>
      </c>
      <c r="O234" s="12" t="s">
        <v>22</v>
      </c>
      <c r="P234" s="12">
        <v>6.27</v>
      </c>
      <c r="Q234" s="12" t="s">
        <v>23</v>
      </c>
    </row>
    <row r="235" spans="1:17" x14ac:dyDescent="0.3">
      <c r="A235" s="12" t="s">
        <v>545</v>
      </c>
      <c r="B235" s="12" t="s">
        <v>546</v>
      </c>
      <c r="C235" s="12" t="s">
        <v>19</v>
      </c>
      <c r="D235" s="12">
        <v>41</v>
      </c>
      <c r="E235" s="12" t="s">
        <v>60</v>
      </c>
      <c r="F235" s="12" t="s">
        <v>17</v>
      </c>
      <c r="G235" s="12" t="s">
        <v>99</v>
      </c>
      <c r="H235" s="12" t="s">
        <v>57</v>
      </c>
      <c r="I235" s="12">
        <v>9</v>
      </c>
      <c r="J235" s="12">
        <v>117105</v>
      </c>
      <c r="K235" s="12">
        <v>87.36</v>
      </c>
      <c r="L235" s="12">
        <v>7</v>
      </c>
      <c r="M235" s="12">
        <v>8</v>
      </c>
      <c r="N235" s="12">
        <v>59</v>
      </c>
      <c r="O235" s="12" t="s">
        <v>21</v>
      </c>
      <c r="P235" s="12">
        <v>6.42</v>
      </c>
      <c r="Q235" s="12" t="s">
        <v>23</v>
      </c>
    </row>
    <row r="236" spans="1:17" x14ac:dyDescent="0.3">
      <c r="A236" s="12" t="s">
        <v>547</v>
      </c>
      <c r="B236" s="12" t="s">
        <v>548</v>
      </c>
      <c r="C236" s="12" t="s">
        <v>19</v>
      </c>
      <c r="D236" s="12">
        <v>25</v>
      </c>
      <c r="E236" s="12" t="s">
        <v>91</v>
      </c>
      <c r="F236" s="12" t="s">
        <v>12</v>
      </c>
      <c r="G236" s="12" t="s">
        <v>119</v>
      </c>
      <c r="H236" s="12" t="s">
        <v>62</v>
      </c>
      <c r="I236" s="12">
        <v>4</v>
      </c>
      <c r="J236" s="12">
        <v>129123</v>
      </c>
      <c r="K236" s="12">
        <v>89.86</v>
      </c>
      <c r="L236" s="12">
        <v>16</v>
      </c>
      <c r="M236" s="12">
        <v>14</v>
      </c>
      <c r="N236" s="12">
        <v>18</v>
      </c>
      <c r="O236" s="12" t="s">
        <v>20</v>
      </c>
      <c r="P236" s="12">
        <v>6.43</v>
      </c>
      <c r="Q236" s="12" t="s">
        <v>23</v>
      </c>
    </row>
    <row r="237" spans="1:17" x14ac:dyDescent="0.3">
      <c r="A237" s="12" t="s">
        <v>549</v>
      </c>
      <c r="B237" s="12" t="s">
        <v>550</v>
      </c>
      <c r="C237" s="12" t="s">
        <v>19</v>
      </c>
      <c r="D237" s="12">
        <v>50</v>
      </c>
      <c r="E237" s="12" t="s">
        <v>60</v>
      </c>
      <c r="F237" s="12" t="s">
        <v>17</v>
      </c>
      <c r="G237" s="12" t="s">
        <v>99</v>
      </c>
      <c r="H237" s="12" t="s">
        <v>86</v>
      </c>
      <c r="I237" s="12">
        <v>8</v>
      </c>
      <c r="J237" s="12">
        <v>103155</v>
      </c>
      <c r="K237" s="12">
        <v>86.03</v>
      </c>
      <c r="L237" s="12">
        <v>9</v>
      </c>
      <c r="M237" s="12">
        <v>15</v>
      </c>
      <c r="N237" s="12">
        <v>32</v>
      </c>
      <c r="O237" s="12" t="s">
        <v>20</v>
      </c>
      <c r="P237" s="12">
        <v>6.24</v>
      </c>
      <c r="Q237" s="12" t="s">
        <v>23</v>
      </c>
    </row>
    <row r="238" spans="1:17" x14ac:dyDescent="0.3">
      <c r="A238" s="12" t="s">
        <v>551</v>
      </c>
      <c r="B238" s="12" t="s">
        <v>552</v>
      </c>
      <c r="C238" s="12" t="s">
        <v>18</v>
      </c>
      <c r="D238" s="12">
        <v>38</v>
      </c>
      <c r="E238" s="12" t="s">
        <v>91</v>
      </c>
      <c r="F238" s="12" t="s">
        <v>15</v>
      </c>
      <c r="G238" s="12" t="s">
        <v>130</v>
      </c>
      <c r="H238" s="12" t="s">
        <v>77</v>
      </c>
      <c r="I238" s="12">
        <v>1</v>
      </c>
      <c r="J238" s="12">
        <v>128122</v>
      </c>
      <c r="K238" s="12">
        <v>72.72</v>
      </c>
      <c r="L238" s="12">
        <v>15</v>
      </c>
      <c r="M238" s="12">
        <v>35</v>
      </c>
      <c r="N238" s="12">
        <v>106</v>
      </c>
      <c r="O238" s="12" t="s">
        <v>22</v>
      </c>
      <c r="P238" s="12">
        <v>7.35</v>
      </c>
      <c r="Q238" s="12" t="s">
        <v>23</v>
      </c>
    </row>
    <row r="239" spans="1:17" x14ac:dyDescent="0.3">
      <c r="A239" s="12" t="s">
        <v>553</v>
      </c>
      <c r="B239" s="12" t="s">
        <v>554</v>
      </c>
      <c r="C239" s="12" t="s">
        <v>18</v>
      </c>
      <c r="D239" s="12">
        <v>47</v>
      </c>
      <c r="E239" s="12" t="s">
        <v>65</v>
      </c>
      <c r="F239" s="12" t="s">
        <v>14</v>
      </c>
      <c r="G239" s="12" t="s">
        <v>248</v>
      </c>
      <c r="H239" s="12" t="s">
        <v>77</v>
      </c>
      <c r="I239" s="12">
        <v>6</v>
      </c>
      <c r="J239" s="12">
        <v>112178</v>
      </c>
      <c r="K239" s="12">
        <v>97.58</v>
      </c>
      <c r="L239" s="12">
        <v>10</v>
      </c>
      <c r="M239" s="12">
        <v>26</v>
      </c>
      <c r="N239" s="12">
        <v>60</v>
      </c>
      <c r="O239" s="12" t="s">
        <v>20</v>
      </c>
      <c r="P239" s="12">
        <v>8.6300000000000008</v>
      </c>
      <c r="Q239" s="12" t="s">
        <v>24</v>
      </c>
    </row>
    <row r="240" spans="1:17" x14ac:dyDescent="0.3">
      <c r="A240" s="12" t="s">
        <v>555</v>
      </c>
      <c r="B240" s="12" t="s">
        <v>556</v>
      </c>
      <c r="C240" s="12" t="s">
        <v>19</v>
      </c>
      <c r="D240" s="12">
        <v>33</v>
      </c>
      <c r="E240" s="12" t="s">
        <v>69</v>
      </c>
      <c r="F240" s="12" t="s">
        <v>16</v>
      </c>
      <c r="G240" s="12" t="s">
        <v>271</v>
      </c>
      <c r="H240" s="12" t="s">
        <v>62</v>
      </c>
      <c r="I240" s="12">
        <v>10</v>
      </c>
      <c r="J240" s="12">
        <v>111118</v>
      </c>
      <c r="K240" s="12">
        <v>68.290000000000006</v>
      </c>
      <c r="L240" s="12">
        <v>9</v>
      </c>
      <c r="M240" s="12">
        <v>33</v>
      </c>
      <c r="N240" s="12">
        <v>103</v>
      </c>
      <c r="O240" s="12" t="s">
        <v>20</v>
      </c>
      <c r="P240" s="12">
        <v>6.54</v>
      </c>
      <c r="Q240" s="12" t="s">
        <v>23</v>
      </c>
    </row>
    <row r="241" spans="1:17" x14ac:dyDescent="0.3">
      <c r="A241" s="12" t="s">
        <v>557</v>
      </c>
      <c r="B241" s="12" t="s">
        <v>558</v>
      </c>
      <c r="C241" s="12" t="s">
        <v>19</v>
      </c>
      <c r="D241" s="12">
        <v>36</v>
      </c>
      <c r="E241" s="12" t="s">
        <v>69</v>
      </c>
      <c r="F241" s="12" t="s">
        <v>15</v>
      </c>
      <c r="G241" s="12" t="s">
        <v>130</v>
      </c>
      <c r="H241" s="12" t="s">
        <v>57</v>
      </c>
      <c r="I241" s="12">
        <v>10</v>
      </c>
      <c r="J241" s="12">
        <v>145731</v>
      </c>
      <c r="K241" s="12">
        <v>84.88</v>
      </c>
      <c r="L241" s="12">
        <v>5</v>
      </c>
      <c r="M241" s="12">
        <v>52</v>
      </c>
      <c r="N241" s="12">
        <v>73</v>
      </c>
      <c r="O241" s="12" t="s">
        <v>20</v>
      </c>
      <c r="P241" s="12">
        <v>7.55</v>
      </c>
      <c r="Q241" s="12" t="s">
        <v>23</v>
      </c>
    </row>
    <row r="242" spans="1:17" x14ac:dyDescent="0.3">
      <c r="A242" s="12" t="s">
        <v>559</v>
      </c>
      <c r="B242" s="12" t="s">
        <v>560</v>
      </c>
      <c r="C242" s="12" t="s">
        <v>19</v>
      </c>
      <c r="D242" s="12">
        <v>33</v>
      </c>
      <c r="E242" s="12" t="s">
        <v>91</v>
      </c>
      <c r="F242" s="12" t="s">
        <v>12</v>
      </c>
      <c r="G242" s="12" t="s">
        <v>92</v>
      </c>
      <c r="H242" s="12" t="s">
        <v>77</v>
      </c>
      <c r="I242" s="12">
        <v>0</v>
      </c>
      <c r="J242" s="12">
        <v>146290</v>
      </c>
      <c r="K242" s="12">
        <v>79.75</v>
      </c>
      <c r="L242" s="12">
        <v>15</v>
      </c>
      <c r="M242" s="12">
        <v>26</v>
      </c>
      <c r="N242" s="12">
        <v>81</v>
      </c>
      <c r="O242" s="12" t="s">
        <v>22</v>
      </c>
      <c r="P242" s="12">
        <v>7.44</v>
      </c>
      <c r="Q242" s="12" t="s">
        <v>23</v>
      </c>
    </row>
    <row r="243" spans="1:17" x14ac:dyDescent="0.3">
      <c r="A243" s="12" t="s">
        <v>561</v>
      </c>
      <c r="B243" s="12" t="s">
        <v>562</v>
      </c>
      <c r="C243" s="12" t="s">
        <v>19</v>
      </c>
      <c r="D243" s="12">
        <v>47</v>
      </c>
      <c r="E243" s="12" t="s">
        <v>60</v>
      </c>
      <c r="F243" s="12" t="s">
        <v>16</v>
      </c>
      <c r="G243" s="12" t="s">
        <v>271</v>
      </c>
      <c r="H243" s="12" t="s">
        <v>57</v>
      </c>
      <c r="I243" s="12">
        <v>24</v>
      </c>
      <c r="J243" s="12">
        <v>66312</v>
      </c>
      <c r="K243" s="12">
        <v>78.53</v>
      </c>
      <c r="L243" s="12">
        <v>8</v>
      </c>
      <c r="M243" s="12">
        <v>0</v>
      </c>
      <c r="N243" s="12">
        <v>115</v>
      </c>
      <c r="O243" s="12" t="s">
        <v>20</v>
      </c>
      <c r="P243" s="12">
        <v>8.15</v>
      </c>
      <c r="Q243" s="12" t="s">
        <v>23</v>
      </c>
    </row>
    <row r="244" spans="1:17" x14ac:dyDescent="0.3">
      <c r="A244" s="12" t="s">
        <v>563</v>
      </c>
      <c r="B244" s="12" t="s">
        <v>564</v>
      </c>
      <c r="C244" s="12" t="s">
        <v>18</v>
      </c>
      <c r="D244" s="12">
        <v>43</v>
      </c>
      <c r="E244" s="12" t="s">
        <v>60</v>
      </c>
      <c r="F244" s="12" t="s">
        <v>17</v>
      </c>
      <c r="G244" s="12" t="s">
        <v>135</v>
      </c>
      <c r="H244" s="12" t="s">
        <v>62</v>
      </c>
      <c r="I244" s="12">
        <v>4</v>
      </c>
      <c r="J244" s="12">
        <v>134471</v>
      </c>
      <c r="K244" s="12">
        <v>84.87</v>
      </c>
      <c r="L244" s="12">
        <v>15</v>
      </c>
      <c r="M244" s="12">
        <v>60</v>
      </c>
      <c r="N244" s="12">
        <v>17</v>
      </c>
      <c r="O244" s="12" t="s">
        <v>20</v>
      </c>
      <c r="P244" s="12">
        <v>6.96</v>
      </c>
      <c r="Q244" s="12" t="s">
        <v>23</v>
      </c>
    </row>
    <row r="245" spans="1:17" x14ac:dyDescent="0.3">
      <c r="A245" s="12" t="s">
        <v>565</v>
      </c>
      <c r="B245" s="12" t="s">
        <v>566</v>
      </c>
      <c r="C245" s="12" t="s">
        <v>18</v>
      </c>
      <c r="D245" s="12">
        <v>40</v>
      </c>
      <c r="E245" s="12" t="s">
        <v>65</v>
      </c>
      <c r="F245" s="12" t="s">
        <v>15</v>
      </c>
      <c r="G245" s="12" t="s">
        <v>73</v>
      </c>
      <c r="H245" s="12" t="s">
        <v>86</v>
      </c>
      <c r="I245" s="12">
        <v>18</v>
      </c>
      <c r="J245" s="12">
        <v>90137</v>
      </c>
      <c r="K245" s="12">
        <v>94.2</v>
      </c>
      <c r="L245" s="12">
        <v>19</v>
      </c>
      <c r="M245" s="12">
        <v>42</v>
      </c>
      <c r="N245" s="12">
        <v>54</v>
      </c>
      <c r="O245" s="12" t="s">
        <v>21</v>
      </c>
      <c r="P245" s="12">
        <v>9.69</v>
      </c>
      <c r="Q245" s="12" t="s">
        <v>24</v>
      </c>
    </row>
    <row r="246" spans="1:17" x14ac:dyDescent="0.3">
      <c r="A246" s="12" t="s">
        <v>567</v>
      </c>
      <c r="B246" s="12" t="s">
        <v>568</v>
      </c>
      <c r="C246" s="12" t="s">
        <v>18</v>
      </c>
      <c r="D246" s="12">
        <v>57</v>
      </c>
      <c r="E246" s="12" t="s">
        <v>55</v>
      </c>
      <c r="F246" s="12" t="s">
        <v>14</v>
      </c>
      <c r="G246" s="12" t="s">
        <v>248</v>
      </c>
      <c r="H246" s="12" t="s">
        <v>62</v>
      </c>
      <c r="I246" s="12">
        <v>30</v>
      </c>
      <c r="J246" s="12">
        <v>130542</v>
      </c>
      <c r="K246" s="12">
        <v>70.95</v>
      </c>
      <c r="L246" s="12">
        <v>4</v>
      </c>
      <c r="M246" s="12">
        <v>0</v>
      </c>
      <c r="N246" s="12">
        <v>49</v>
      </c>
      <c r="O246" s="12" t="s">
        <v>20</v>
      </c>
      <c r="P246" s="12">
        <v>6.58</v>
      </c>
      <c r="Q246" s="12" t="s">
        <v>23</v>
      </c>
    </row>
    <row r="247" spans="1:17" x14ac:dyDescent="0.3">
      <c r="A247" s="12" t="s">
        <v>569</v>
      </c>
      <c r="B247" s="12" t="s">
        <v>570</v>
      </c>
      <c r="C247" s="12" t="s">
        <v>18</v>
      </c>
      <c r="D247" s="12">
        <v>55</v>
      </c>
      <c r="E247" s="12" t="s">
        <v>55</v>
      </c>
      <c r="F247" s="12" t="s">
        <v>17</v>
      </c>
      <c r="G247" s="12" t="s">
        <v>102</v>
      </c>
      <c r="H247" s="12" t="s">
        <v>77</v>
      </c>
      <c r="I247" s="12">
        <v>28</v>
      </c>
      <c r="J247" s="12">
        <v>60127</v>
      </c>
      <c r="K247" s="12">
        <v>97.85</v>
      </c>
      <c r="L247" s="12">
        <v>3</v>
      </c>
      <c r="M247" s="12">
        <v>47</v>
      </c>
      <c r="N247" s="12">
        <v>106</v>
      </c>
      <c r="O247" s="12" t="s">
        <v>20</v>
      </c>
      <c r="P247" s="12">
        <v>8.85</v>
      </c>
      <c r="Q247" s="12" t="s">
        <v>24</v>
      </c>
    </row>
    <row r="248" spans="1:17" x14ac:dyDescent="0.3">
      <c r="A248" s="12" t="s">
        <v>571</v>
      </c>
      <c r="B248" s="12" t="s">
        <v>572</v>
      </c>
      <c r="C248" s="12" t="s">
        <v>19</v>
      </c>
      <c r="D248" s="12">
        <v>54</v>
      </c>
      <c r="E248" s="12" t="s">
        <v>69</v>
      </c>
      <c r="F248" s="12" t="s">
        <v>13</v>
      </c>
      <c r="G248" s="12" t="s">
        <v>56</v>
      </c>
      <c r="H248" s="12" t="s">
        <v>77</v>
      </c>
      <c r="I248" s="12">
        <v>26</v>
      </c>
      <c r="J248" s="12">
        <v>42002</v>
      </c>
      <c r="K248" s="12">
        <v>76.69</v>
      </c>
      <c r="L248" s="12">
        <v>11</v>
      </c>
      <c r="M248" s="12">
        <v>27</v>
      </c>
      <c r="N248" s="12">
        <v>110</v>
      </c>
      <c r="O248" s="12" t="s">
        <v>21</v>
      </c>
      <c r="P248" s="12">
        <v>8.36</v>
      </c>
      <c r="Q248" s="12" t="s">
        <v>23</v>
      </c>
    </row>
    <row r="249" spans="1:17" x14ac:dyDescent="0.3">
      <c r="A249" s="12" t="s">
        <v>573</v>
      </c>
      <c r="B249" s="12" t="s">
        <v>574</v>
      </c>
      <c r="C249" s="12" t="s">
        <v>18</v>
      </c>
      <c r="D249" s="12">
        <v>30</v>
      </c>
      <c r="E249" s="12" t="s">
        <v>55</v>
      </c>
      <c r="F249" s="12" t="s">
        <v>13</v>
      </c>
      <c r="G249" s="12" t="s">
        <v>56</v>
      </c>
      <c r="H249" s="12" t="s">
        <v>86</v>
      </c>
      <c r="I249" s="12">
        <v>1</v>
      </c>
      <c r="J249" s="12">
        <v>82813</v>
      </c>
      <c r="K249" s="12">
        <v>77.599999999999994</v>
      </c>
      <c r="L249" s="12">
        <v>17</v>
      </c>
      <c r="M249" s="12">
        <v>16</v>
      </c>
      <c r="N249" s="12">
        <v>66</v>
      </c>
      <c r="O249" s="12" t="s">
        <v>20</v>
      </c>
      <c r="P249" s="12">
        <v>6.89</v>
      </c>
      <c r="Q249" s="12" t="s">
        <v>23</v>
      </c>
    </row>
    <row r="250" spans="1:17" x14ac:dyDescent="0.3">
      <c r="A250" s="12" t="s">
        <v>575</v>
      </c>
      <c r="B250" s="12" t="s">
        <v>1</v>
      </c>
      <c r="C250" s="12" t="s">
        <v>19</v>
      </c>
      <c r="D250" s="12">
        <v>37</v>
      </c>
      <c r="E250" s="12" t="s">
        <v>91</v>
      </c>
      <c r="F250" s="12" t="s">
        <v>12</v>
      </c>
      <c r="G250" s="12" t="s">
        <v>152</v>
      </c>
      <c r="H250" s="12" t="s">
        <v>57</v>
      </c>
      <c r="I250" s="12">
        <v>16</v>
      </c>
      <c r="J250" s="12">
        <v>86027</v>
      </c>
      <c r="K250" s="12">
        <v>75.14</v>
      </c>
      <c r="L250" s="12">
        <v>3</v>
      </c>
      <c r="M250" s="12">
        <v>25</v>
      </c>
      <c r="N250" s="12">
        <v>37</v>
      </c>
      <c r="O250" s="12" t="s">
        <v>20</v>
      </c>
      <c r="P250" s="12">
        <v>6.74</v>
      </c>
      <c r="Q250" s="12" t="s">
        <v>23</v>
      </c>
    </row>
    <row r="251" spans="1:17" x14ac:dyDescent="0.3">
      <c r="A251" s="12" t="s">
        <v>576</v>
      </c>
      <c r="B251" s="12" t="s">
        <v>577</v>
      </c>
      <c r="C251" s="12" t="s">
        <v>19</v>
      </c>
      <c r="D251" s="12">
        <v>42</v>
      </c>
      <c r="E251" s="12" t="s">
        <v>55</v>
      </c>
      <c r="F251" s="12" t="s">
        <v>17</v>
      </c>
      <c r="G251" s="12" t="s">
        <v>135</v>
      </c>
      <c r="H251" s="12" t="s">
        <v>62</v>
      </c>
      <c r="I251" s="12">
        <v>1</v>
      </c>
      <c r="J251" s="12">
        <v>93411</v>
      </c>
      <c r="K251" s="12">
        <v>73.36</v>
      </c>
      <c r="L251" s="12">
        <v>6</v>
      </c>
      <c r="M251" s="12">
        <v>15</v>
      </c>
      <c r="N251" s="12">
        <v>23</v>
      </c>
      <c r="O251" s="12" t="s">
        <v>22</v>
      </c>
      <c r="P251" s="12">
        <v>4.67</v>
      </c>
      <c r="Q251" s="12" t="s">
        <v>23</v>
      </c>
    </row>
    <row r="252" spans="1:17" x14ac:dyDescent="0.3">
      <c r="A252" s="12" t="s">
        <v>578</v>
      </c>
      <c r="B252" s="12" t="s">
        <v>579</v>
      </c>
      <c r="C252" s="12" t="s">
        <v>19</v>
      </c>
      <c r="D252" s="12">
        <v>48</v>
      </c>
      <c r="E252" s="12" t="s">
        <v>69</v>
      </c>
      <c r="F252" s="12" t="s">
        <v>17</v>
      </c>
      <c r="G252" s="12" t="s">
        <v>102</v>
      </c>
      <c r="H252" s="12" t="s">
        <v>77</v>
      </c>
      <c r="I252" s="12">
        <v>22</v>
      </c>
      <c r="J252" s="12">
        <v>128393</v>
      </c>
      <c r="K252" s="12">
        <v>90.4</v>
      </c>
      <c r="L252" s="12">
        <v>10</v>
      </c>
      <c r="M252" s="12">
        <v>25</v>
      </c>
      <c r="N252" s="12">
        <v>47</v>
      </c>
      <c r="O252" s="12" t="s">
        <v>21</v>
      </c>
      <c r="P252" s="12">
        <v>8.27</v>
      </c>
      <c r="Q252" s="12" t="s">
        <v>23</v>
      </c>
    </row>
    <row r="253" spans="1:17" x14ac:dyDescent="0.3">
      <c r="A253" s="12" t="s">
        <v>580</v>
      </c>
      <c r="B253" s="12" t="s">
        <v>581</v>
      </c>
      <c r="C253" s="12" t="s">
        <v>18</v>
      </c>
      <c r="D253" s="12">
        <v>34</v>
      </c>
      <c r="E253" s="12" t="s">
        <v>80</v>
      </c>
      <c r="F253" s="12" t="s">
        <v>16</v>
      </c>
      <c r="G253" s="12" t="s">
        <v>271</v>
      </c>
      <c r="H253" s="12" t="s">
        <v>62</v>
      </c>
      <c r="I253" s="12">
        <v>2</v>
      </c>
      <c r="J253" s="12">
        <v>60609</v>
      </c>
      <c r="K253" s="12">
        <v>75.14</v>
      </c>
      <c r="L253" s="12">
        <v>1</v>
      </c>
      <c r="M253" s="12">
        <v>31</v>
      </c>
      <c r="N253" s="12">
        <v>61</v>
      </c>
      <c r="O253" s="12" t="s">
        <v>20</v>
      </c>
      <c r="P253" s="12">
        <v>4.54</v>
      </c>
      <c r="Q253" s="12" t="s">
        <v>23</v>
      </c>
    </row>
    <row r="254" spans="1:17" x14ac:dyDescent="0.3">
      <c r="A254" s="12" t="s">
        <v>582</v>
      </c>
      <c r="B254" s="12" t="s">
        <v>583</v>
      </c>
      <c r="C254" s="12" t="s">
        <v>19</v>
      </c>
      <c r="D254" s="12">
        <v>23</v>
      </c>
      <c r="E254" s="12" t="s">
        <v>91</v>
      </c>
      <c r="F254" s="12" t="s">
        <v>12</v>
      </c>
      <c r="G254" s="12" t="s">
        <v>119</v>
      </c>
      <c r="H254" s="12" t="s">
        <v>86</v>
      </c>
      <c r="I254" s="12">
        <v>1</v>
      </c>
      <c r="J254" s="12">
        <v>101908</v>
      </c>
      <c r="K254" s="12">
        <v>85.31</v>
      </c>
      <c r="L254" s="12">
        <v>15</v>
      </c>
      <c r="M254" s="12">
        <v>44</v>
      </c>
      <c r="N254" s="12">
        <v>68</v>
      </c>
      <c r="O254" s="12" t="s">
        <v>22</v>
      </c>
      <c r="P254" s="12">
        <v>7.91</v>
      </c>
      <c r="Q254" s="12" t="s">
        <v>23</v>
      </c>
    </row>
    <row r="255" spans="1:17" x14ac:dyDescent="0.3">
      <c r="A255" s="12" t="s">
        <v>584</v>
      </c>
      <c r="B255" s="12" t="s">
        <v>585</v>
      </c>
      <c r="C255" s="12" t="s">
        <v>18</v>
      </c>
      <c r="D255" s="12">
        <v>30</v>
      </c>
      <c r="E255" s="12" t="s">
        <v>69</v>
      </c>
      <c r="F255" s="12" t="s">
        <v>13</v>
      </c>
      <c r="G255" s="12" t="s">
        <v>56</v>
      </c>
      <c r="H255" s="12" t="s">
        <v>77</v>
      </c>
      <c r="I255" s="12">
        <v>5</v>
      </c>
      <c r="J255" s="12">
        <v>60580</v>
      </c>
      <c r="K255" s="12">
        <v>79.17</v>
      </c>
      <c r="L255" s="12">
        <v>11</v>
      </c>
      <c r="M255" s="12">
        <v>37</v>
      </c>
      <c r="N255" s="12">
        <v>73</v>
      </c>
      <c r="O255" s="12" t="s">
        <v>22</v>
      </c>
      <c r="P255" s="12">
        <v>6.18</v>
      </c>
      <c r="Q255" s="12" t="s">
        <v>23</v>
      </c>
    </row>
    <row r="256" spans="1:17" x14ac:dyDescent="0.3">
      <c r="A256" s="12" t="s">
        <v>586</v>
      </c>
      <c r="B256" s="12" t="s">
        <v>587</v>
      </c>
      <c r="C256" s="12" t="s">
        <v>19</v>
      </c>
      <c r="D256" s="12">
        <v>50</v>
      </c>
      <c r="E256" s="12" t="s">
        <v>60</v>
      </c>
      <c r="F256" s="12" t="s">
        <v>12</v>
      </c>
      <c r="G256" s="12" t="s">
        <v>119</v>
      </c>
      <c r="H256" s="12" t="s">
        <v>57</v>
      </c>
      <c r="I256" s="12">
        <v>1</v>
      </c>
      <c r="J256" s="12">
        <v>134005</v>
      </c>
      <c r="K256" s="12">
        <v>96.47</v>
      </c>
      <c r="L256" s="12">
        <v>19</v>
      </c>
      <c r="M256" s="12">
        <v>54</v>
      </c>
      <c r="N256" s="12">
        <v>92</v>
      </c>
      <c r="O256" s="12" t="s">
        <v>21</v>
      </c>
      <c r="P256" s="12">
        <v>9.48</v>
      </c>
      <c r="Q256" s="12" t="s">
        <v>23</v>
      </c>
    </row>
    <row r="257" spans="1:17" x14ac:dyDescent="0.3">
      <c r="A257" s="12" t="s">
        <v>588</v>
      </c>
      <c r="B257" s="12" t="s">
        <v>589</v>
      </c>
      <c r="C257" s="12" t="s">
        <v>19</v>
      </c>
      <c r="D257" s="12">
        <v>43</v>
      </c>
      <c r="E257" s="12" t="s">
        <v>69</v>
      </c>
      <c r="F257" s="12" t="s">
        <v>16</v>
      </c>
      <c r="G257" s="12" t="s">
        <v>76</v>
      </c>
      <c r="H257" s="12" t="s">
        <v>86</v>
      </c>
      <c r="I257" s="12">
        <v>16</v>
      </c>
      <c r="J257" s="12">
        <v>46061</v>
      </c>
      <c r="K257" s="12">
        <v>69.83</v>
      </c>
      <c r="L257" s="12">
        <v>4</v>
      </c>
      <c r="M257" s="12">
        <v>47</v>
      </c>
      <c r="N257" s="12">
        <v>77</v>
      </c>
      <c r="O257" s="12" t="s">
        <v>22</v>
      </c>
      <c r="P257" s="12">
        <v>7.08</v>
      </c>
      <c r="Q257" s="12" t="s">
        <v>23</v>
      </c>
    </row>
    <row r="258" spans="1:17" x14ac:dyDescent="0.3">
      <c r="A258" s="12" t="s">
        <v>590</v>
      </c>
      <c r="B258" s="12" t="s">
        <v>591</v>
      </c>
      <c r="C258" s="12" t="s">
        <v>19</v>
      </c>
      <c r="D258" s="12">
        <v>35</v>
      </c>
      <c r="E258" s="12" t="s">
        <v>80</v>
      </c>
      <c r="F258" s="12" t="s">
        <v>16</v>
      </c>
      <c r="G258" s="12" t="s">
        <v>76</v>
      </c>
      <c r="H258" s="12" t="s">
        <v>62</v>
      </c>
      <c r="I258" s="12">
        <v>0</v>
      </c>
      <c r="J258" s="12">
        <v>99159</v>
      </c>
      <c r="K258" s="12">
        <v>94.65</v>
      </c>
      <c r="L258" s="12">
        <v>8</v>
      </c>
      <c r="M258" s="12">
        <v>22</v>
      </c>
      <c r="N258" s="12">
        <v>13</v>
      </c>
      <c r="O258" s="12" t="s">
        <v>20</v>
      </c>
      <c r="P258" s="12">
        <v>6.27</v>
      </c>
      <c r="Q258" s="12" t="s">
        <v>23</v>
      </c>
    </row>
    <row r="259" spans="1:17" x14ac:dyDescent="0.3">
      <c r="A259" s="12" t="s">
        <v>592</v>
      </c>
      <c r="B259" s="12" t="s">
        <v>593</v>
      </c>
      <c r="C259" s="12" t="s">
        <v>19</v>
      </c>
      <c r="D259" s="12">
        <v>29</v>
      </c>
      <c r="E259" s="12" t="s">
        <v>80</v>
      </c>
      <c r="F259" s="12" t="s">
        <v>16</v>
      </c>
      <c r="G259" s="12" t="s">
        <v>271</v>
      </c>
      <c r="H259" s="12" t="s">
        <v>86</v>
      </c>
      <c r="I259" s="12">
        <v>4</v>
      </c>
      <c r="J259" s="12">
        <v>66661</v>
      </c>
      <c r="K259" s="12">
        <v>73.650000000000006</v>
      </c>
      <c r="L259" s="12">
        <v>8</v>
      </c>
      <c r="M259" s="12">
        <v>56</v>
      </c>
      <c r="N259" s="12">
        <v>16</v>
      </c>
      <c r="O259" s="12" t="s">
        <v>20</v>
      </c>
      <c r="P259" s="12">
        <v>4.46</v>
      </c>
      <c r="Q259" s="12" t="s">
        <v>23</v>
      </c>
    </row>
    <row r="260" spans="1:17" x14ac:dyDescent="0.3">
      <c r="A260" s="12" t="s">
        <v>594</v>
      </c>
      <c r="B260" s="12" t="s">
        <v>595</v>
      </c>
      <c r="C260" s="12" t="s">
        <v>18</v>
      </c>
      <c r="D260" s="12">
        <v>28</v>
      </c>
      <c r="E260" s="12" t="s">
        <v>65</v>
      </c>
      <c r="F260" s="12" t="s">
        <v>12</v>
      </c>
      <c r="G260" s="12" t="s">
        <v>92</v>
      </c>
      <c r="H260" s="12" t="s">
        <v>86</v>
      </c>
      <c r="I260" s="12">
        <v>4</v>
      </c>
      <c r="J260" s="12">
        <v>118529</v>
      </c>
      <c r="K260" s="12">
        <v>97.98</v>
      </c>
      <c r="L260" s="12">
        <v>14</v>
      </c>
      <c r="M260" s="12">
        <v>7</v>
      </c>
      <c r="N260" s="12">
        <v>63</v>
      </c>
      <c r="O260" s="12" t="s">
        <v>20</v>
      </c>
      <c r="P260" s="12">
        <v>9.19</v>
      </c>
      <c r="Q260" s="12" t="s">
        <v>24</v>
      </c>
    </row>
    <row r="261" spans="1:17" x14ac:dyDescent="0.3">
      <c r="A261" s="12" t="s">
        <v>596</v>
      </c>
      <c r="B261" s="12" t="s">
        <v>597</v>
      </c>
      <c r="C261" s="12" t="s">
        <v>19</v>
      </c>
      <c r="D261" s="12">
        <v>25</v>
      </c>
      <c r="E261" s="12" t="s">
        <v>69</v>
      </c>
      <c r="F261" s="12" t="s">
        <v>15</v>
      </c>
      <c r="G261" s="12" t="s">
        <v>130</v>
      </c>
      <c r="H261" s="12" t="s">
        <v>86</v>
      </c>
      <c r="I261" s="12">
        <v>2</v>
      </c>
      <c r="J261" s="12">
        <v>117896</v>
      </c>
      <c r="K261" s="12">
        <v>85</v>
      </c>
      <c r="L261" s="12">
        <v>12</v>
      </c>
      <c r="M261" s="12">
        <v>1</v>
      </c>
      <c r="N261" s="12">
        <v>45</v>
      </c>
      <c r="O261" s="12" t="s">
        <v>20</v>
      </c>
      <c r="P261" s="12">
        <v>7.67</v>
      </c>
      <c r="Q261" s="12" t="s">
        <v>23</v>
      </c>
    </row>
    <row r="262" spans="1:17" x14ac:dyDescent="0.3">
      <c r="A262" s="12" t="s">
        <v>598</v>
      </c>
      <c r="B262" s="12" t="s">
        <v>599</v>
      </c>
      <c r="C262" s="12" t="s">
        <v>18</v>
      </c>
      <c r="D262" s="12">
        <v>26</v>
      </c>
      <c r="E262" s="12" t="s">
        <v>65</v>
      </c>
      <c r="F262" s="12" t="s">
        <v>16</v>
      </c>
      <c r="G262" s="12" t="s">
        <v>76</v>
      </c>
      <c r="H262" s="12" t="s">
        <v>86</v>
      </c>
      <c r="I262" s="12">
        <v>1</v>
      </c>
      <c r="J262" s="12">
        <v>77375</v>
      </c>
      <c r="K262" s="12">
        <v>85.57</v>
      </c>
      <c r="L262" s="12">
        <v>6</v>
      </c>
      <c r="M262" s="12">
        <v>33</v>
      </c>
      <c r="N262" s="12">
        <v>74</v>
      </c>
      <c r="O262" s="12" t="s">
        <v>20</v>
      </c>
      <c r="P262" s="12">
        <v>5.69</v>
      </c>
      <c r="Q262" s="12" t="s">
        <v>23</v>
      </c>
    </row>
    <row r="263" spans="1:17" x14ac:dyDescent="0.3">
      <c r="A263" s="12" t="s">
        <v>600</v>
      </c>
      <c r="B263" s="12" t="s">
        <v>601</v>
      </c>
      <c r="C263" s="12" t="s">
        <v>19</v>
      </c>
      <c r="D263" s="12">
        <v>52</v>
      </c>
      <c r="E263" s="12" t="s">
        <v>60</v>
      </c>
      <c r="F263" s="12" t="s">
        <v>16</v>
      </c>
      <c r="G263" s="12" t="s">
        <v>76</v>
      </c>
      <c r="H263" s="12" t="s">
        <v>86</v>
      </c>
      <c r="I263" s="12">
        <v>28</v>
      </c>
      <c r="J263" s="12">
        <v>67277</v>
      </c>
      <c r="K263" s="12">
        <v>77.099999999999994</v>
      </c>
      <c r="L263" s="12">
        <v>1</v>
      </c>
      <c r="M263" s="12">
        <v>20</v>
      </c>
      <c r="N263" s="12">
        <v>25</v>
      </c>
      <c r="O263" s="12" t="s">
        <v>22</v>
      </c>
      <c r="P263" s="12">
        <v>6.02</v>
      </c>
      <c r="Q263" s="12" t="s">
        <v>23</v>
      </c>
    </row>
    <row r="264" spans="1:17" x14ac:dyDescent="0.3">
      <c r="A264" s="12" t="s">
        <v>602</v>
      </c>
      <c r="B264" s="12" t="s">
        <v>603</v>
      </c>
      <c r="C264" s="12" t="s">
        <v>19</v>
      </c>
      <c r="D264" s="12">
        <v>46</v>
      </c>
      <c r="E264" s="12" t="s">
        <v>80</v>
      </c>
      <c r="F264" s="12" t="s">
        <v>15</v>
      </c>
      <c r="G264" s="12" t="s">
        <v>73</v>
      </c>
      <c r="H264" s="12" t="s">
        <v>57</v>
      </c>
      <c r="I264" s="12">
        <v>1</v>
      </c>
      <c r="J264" s="12">
        <v>141322</v>
      </c>
      <c r="K264" s="12">
        <v>72.38</v>
      </c>
      <c r="L264" s="12">
        <v>5</v>
      </c>
      <c r="M264" s="12">
        <v>51</v>
      </c>
      <c r="N264" s="12">
        <v>31</v>
      </c>
      <c r="O264" s="12" t="s">
        <v>21</v>
      </c>
      <c r="P264" s="12">
        <v>5.79</v>
      </c>
      <c r="Q264" s="12" t="s">
        <v>23</v>
      </c>
    </row>
    <row r="265" spans="1:17" x14ac:dyDescent="0.3">
      <c r="A265" s="12" t="s">
        <v>604</v>
      </c>
      <c r="B265" s="12" t="s">
        <v>605</v>
      </c>
      <c r="C265" s="12" t="s">
        <v>19</v>
      </c>
      <c r="D265" s="12">
        <v>52</v>
      </c>
      <c r="E265" s="12" t="s">
        <v>65</v>
      </c>
      <c r="F265" s="12" t="s">
        <v>16</v>
      </c>
      <c r="G265" s="12" t="s">
        <v>76</v>
      </c>
      <c r="H265" s="12" t="s">
        <v>86</v>
      </c>
      <c r="I265" s="12">
        <v>31</v>
      </c>
      <c r="J265" s="12">
        <v>85717</v>
      </c>
      <c r="K265" s="12">
        <v>97.63</v>
      </c>
      <c r="L265" s="12">
        <v>20</v>
      </c>
      <c r="M265" s="12">
        <v>58</v>
      </c>
      <c r="N265" s="12">
        <v>47</v>
      </c>
      <c r="O265" s="12" t="s">
        <v>20</v>
      </c>
      <c r="P265" s="12">
        <v>10</v>
      </c>
      <c r="Q265" s="12" t="s">
        <v>24</v>
      </c>
    </row>
    <row r="266" spans="1:17" x14ac:dyDescent="0.3">
      <c r="A266" s="12" t="s">
        <v>606</v>
      </c>
      <c r="B266" s="12" t="s">
        <v>607</v>
      </c>
      <c r="C266" s="12" t="s">
        <v>19</v>
      </c>
      <c r="D266" s="12">
        <v>25</v>
      </c>
      <c r="E266" s="12" t="s">
        <v>55</v>
      </c>
      <c r="F266" s="12" t="s">
        <v>17</v>
      </c>
      <c r="G266" s="12" t="s">
        <v>102</v>
      </c>
      <c r="H266" s="12" t="s">
        <v>77</v>
      </c>
      <c r="I266" s="12">
        <v>0</v>
      </c>
      <c r="J266" s="12">
        <v>86196</v>
      </c>
      <c r="K266" s="12">
        <v>68.83</v>
      </c>
      <c r="L266" s="12">
        <v>10</v>
      </c>
      <c r="M266" s="12">
        <v>26</v>
      </c>
      <c r="N266" s="12">
        <v>102</v>
      </c>
      <c r="O266" s="12" t="s">
        <v>22</v>
      </c>
      <c r="P266" s="12">
        <v>7.5</v>
      </c>
      <c r="Q266" s="12" t="s">
        <v>23</v>
      </c>
    </row>
    <row r="267" spans="1:17" x14ac:dyDescent="0.3">
      <c r="A267" s="12" t="s">
        <v>608</v>
      </c>
      <c r="B267" s="12" t="s">
        <v>609</v>
      </c>
      <c r="C267" s="12" t="s">
        <v>19</v>
      </c>
      <c r="D267" s="12">
        <v>34</v>
      </c>
      <c r="E267" s="12" t="s">
        <v>69</v>
      </c>
      <c r="F267" s="12" t="s">
        <v>16</v>
      </c>
      <c r="G267" s="12" t="s">
        <v>181</v>
      </c>
      <c r="H267" s="12" t="s">
        <v>62</v>
      </c>
      <c r="I267" s="12">
        <v>6</v>
      </c>
      <c r="J267" s="12">
        <v>67158</v>
      </c>
      <c r="K267" s="12">
        <v>86.46</v>
      </c>
      <c r="L267" s="12">
        <v>13</v>
      </c>
      <c r="M267" s="12">
        <v>59</v>
      </c>
      <c r="N267" s="12">
        <v>26</v>
      </c>
      <c r="O267" s="12" t="s">
        <v>22</v>
      </c>
      <c r="P267" s="12">
        <v>6.43</v>
      </c>
      <c r="Q267" s="12" t="s">
        <v>23</v>
      </c>
    </row>
    <row r="268" spans="1:17" x14ac:dyDescent="0.3">
      <c r="A268" s="12" t="s">
        <v>610</v>
      </c>
      <c r="B268" s="12" t="s">
        <v>611</v>
      </c>
      <c r="C268" s="12" t="s">
        <v>19</v>
      </c>
      <c r="D268" s="12">
        <v>32</v>
      </c>
      <c r="E268" s="12" t="s">
        <v>80</v>
      </c>
      <c r="F268" s="12" t="s">
        <v>13</v>
      </c>
      <c r="G268" s="12" t="s">
        <v>107</v>
      </c>
      <c r="H268" s="12" t="s">
        <v>62</v>
      </c>
      <c r="I268" s="12">
        <v>2</v>
      </c>
      <c r="J268" s="12">
        <v>86354</v>
      </c>
      <c r="K268" s="12">
        <v>85.07</v>
      </c>
      <c r="L268" s="12">
        <v>4</v>
      </c>
      <c r="M268" s="12">
        <v>42</v>
      </c>
      <c r="N268" s="12">
        <v>5</v>
      </c>
      <c r="O268" s="12" t="s">
        <v>22</v>
      </c>
      <c r="P268" s="12">
        <v>3.79</v>
      </c>
      <c r="Q268" s="12" t="s">
        <v>23</v>
      </c>
    </row>
    <row r="269" spans="1:17" x14ac:dyDescent="0.3">
      <c r="A269" s="12" t="s">
        <v>612</v>
      </c>
      <c r="B269" s="12" t="s">
        <v>613</v>
      </c>
      <c r="C269" s="12" t="s">
        <v>18</v>
      </c>
      <c r="D269" s="12">
        <v>47</v>
      </c>
      <c r="E269" s="12" t="s">
        <v>91</v>
      </c>
      <c r="F269" s="12" t="s">
        <v>12</v>
      </c>
      <c r="G269" s="12" t="s">
        <v>152</v>
      </c>
      <c r="H269" s="12" t="s">
        <v>86</v>
      </c>
      <c r="I269" s="12">
        <v>24</v>
      </c>
      <c r="J269" s="12">
        <v>120540</v>
      </c>
      <c r="K269" s="12">
        <v>90.86</v>
      </c>
      <c r="L269" s="12">
        <v>14</v>
      </c>
      <c r="M269" s="12">
        <v>57</v>
      </c>
      <c r="N269" s="12">
        <v>76</v>
      </c>
      <c r="O269" s="12" t="s">
        <v>20</v>
      </c>
      <c r="P269" s="12">
        <v>8.69</v>
      </c>
      <c r="Q269" s="12" t="s">
        <v>24</v>
      </c>
    </row>
    <row r="270" spans="1:17" x14ac:dyDescent="0.3">
      <c r="A270" s="12" t="s">
        <v>614</v>
      </c>
      <c r="B270" s="12" t="s">
        <v>615</v>
      </c>
      <c r="C270" s="12" t="s">
        <v>18</v>
      </c>
      <c r="D270" s="12">
        <v>33</v>
      </c>
      <c r="E270" s="12" t="s">
        <v>60</v>
      </c>
      <c r="F270" s="12" t="s">
        <v>16</v>
      </c>
      <c r="G270" s="12" t="s">
        <v>181</v>
      </c>
      <c r="H270" s="12" t="s">
        <v>62</v>
      </c>
      <c r="I270" s="12">
        <v>10</v>
      </c>
      <c r="J270" s="12">
        <v>66240</v>
      </c>
      <c r="K270" s="12">
        <v>97.74</v>
      </c>
      <c r="L270" s="12">
        <v>19</v>
      </c>
      <c r="M270" s="12">
        <v>48</v>
      </c>
      <c r="N270" s="12">
        <v>63</v>
      </c>
      <c r="O270" s="12" t="s">
        <v>22</v>
      </c>
      <c r="P270" s="12">
        <v>9.57</v>
      </c>
      <c r="Q270" s="12" t="s">
        <v>24</v>
      </c>
    </row>
    <row r="271" spans="1:17" x14ac:dyDescent="0.3">
      <c r="A271" s="12" t="s">
        <v>616</v>
      </c>
      <c r="B271" s="12" t="s">
        <v>617</v>
      </c>
      <c r="C271" s="12" t="s">
        <v>18</v>
      </c>
      <c r="D271" s="12">
        <v>33</v>
      </c>
      <c r="E271" s="12" t="s">
        <v>91</v>
      </c>
      <c r="F271" s="12" t="s">
        <v>15</v>
      </c>
      <c r="G271" s="12" t="s">
        <v>130</v>
      </c>
      <c r="H271" s="12" t="s">
        <v>86</v>
      </c>
      <c r="I271" s="12">
        <v>2</v>
      </c>
      <c r="J271" s="12">
        <v>39980</v>
      </c>
      <c r="K271" s="12">
        <v>91.86</v>
      </c>
      <c r="L271" s="12">
        <v>17</v>
      </c>
      <c r="M271" s="12">
        <v>14</v>
      </c>
      <c r="N271" s="12">
        <v>47</v>
      </c>
      <c r="O271" s="12" t="s">
        <v>22</v>
      </c>
      <c r="P271" s="12">
        <v>8.58</v>
      </c>
      <c r="Q271" s="12" t="s">
        <v>23</v>
      </c>
    </row>
    <row r="272" spans="1:17" x14ac:dyDescent="0.3">
      <c r="A272" s="12" t="s">
        <v>618</v>
      </c>
      <c r="B272" s="12" t="s">
        <v>619</v>
      </c>
      <c r="C272" s="12" t="s">
        <v>18</v>
      </c>
      <c r="D272" s="12">
        <v>29</v>
      </c>
      <c r="E272" s="12" t="s">
        <v>91</v>
      </c>
      <c r="F272" s="12" t="s">
        <v>16</v>
      </c>
      <c r="G272" s="12" t="s">
        <v>181</v>
      </c>
      <c r="H272" s="12" t="s">
        <v>57</v>
      </c>
      <c r="I272" s="12">
        <v>2</v>
      </c>
      <c r="J272" s="12">
        <v>95284</v>
      </c>
      <c r="K272" s="12">
        <v>83.48</v>
      </c>
      <c r="L272" s="12">
        <v>2</v>
      </c>
      <c r="M272" s="12">
        <v>37</v>
      </c>
      <c r="N272" s="12">
        <v>54</v>
      </c>
      <c r="O272" s="12" t="s">
        <v>20</v>
      </c>
      <c r="P272" s="12">
        <v>5.26</v>
      </c>
      <c r="Q272" s="12" t="s">
        <v>23</v>
      </c>
    </row>
    <row r="273" spans="1:17" x14ac:dyDescent="0.3">
      <c r="A273" s="12" t="s">
        <v>620</v>
      </c>
      <c r="B273" s="12" t="s">
        <v>621</v>
      </c>
      <c r="C273" s="12" t="s">
        <v>18</v>
      </c>
      <c r="D273" s="12">
        <v>29</v>
      </c>
      <c r="E273" s="12" t="s">
        <v>55</v>
      </c>
      <c r="F273" s="12" t="s">
        <v>16</v>
      </c>
      <c r="G273" s="12" t="s">
        <v>271</v>
      </c>
      <c r="H273" s="12" t="s">
        <v>57</v>
      </c>
      <c r="I273" s="12">
        <v>4</v>
      </c>
      <c r="J273" s="12">
        <v>117056</v>
      </c>
      <c r="K273" s="12">
        <v>87.93</v>
      </c>
      <c r="L273" s="12">
        <v>17</v>
      </c>
      <c r="M273" s="12">
        <v>28</v>
      </c>
      <c r="N273" s="12">
        <v>27</v>
      </c>
      <c r="O273" s="12" t="s">
        <v>22</v>
      </c>
      <c r="P273" s="12">
        <v>7.26</v>
      </c>
      <c r="Q273" s="12" t="s">
        <v>23</v>
      </c>
    </row>
    <row r="274" spans="1:17" x14ac:dyDescent="0.3">
      <c r="A274" s="12" t="s">
        <v>622</v>
      </c>
      <c r="B274" s="12" t="s">
        <v>623</v>
      </c>
      <c r="C274" s="12" t="s">
        <v>19</v>
      </c>
      <c r="D274" s="12">
        <v>27</v>
      </c>
      <c r="E274" s="12" t="s">
        <v>60</v>
      </c>
      <c r="F274" s="12" t="s">
        <v>12</v>
      </c>
      <c r="G274" s="12" t="s">
        <v>152</v>
      </c>
      <c r="H274" s="12" t="s">
        <v>86</v>
      </c>
      <c r="I274" s="12">
        <v>5</v>
      </c>
      <c r="J274" s="12">
        <v>140522</v>
      </c>
      <c r="K274" s="12">
        <v>66.97</v>
      </c>
      <c r="L274" s="12">
        <v>19</v>
      </c>
      <c r="M274" s="12">
        <v>22</v>
      </c>
      <c r="N274" s="12">
        <v>104</v>
      </c>
      <c r="O274" s="12" t="s">
        <v>21</v>
      </c>
      <c r="P274" s="12">
        <v>9.11</v>
      </c>
      <c r="Q274" s="12" t="s">
        <v>24</v>
      </c>
    </row>
    <row r="275" spans="1:17" x14ac:dyDescent="0.3">
      <c r="A275" s="12" t="s">
        <v>624</v>
      </c>
      <c r="B275" s="12" t="s">
        <v>625</v>
      </c>
      <c r="C275" s="12" t="s">
        <v>19</v>
      </c>
      <c r="D275" s="12">
        <v>54</v>
      </c>
      <c r="E275" s="12" t="s">
        <v>80</v>
      </c>
      <c r="F275" s="12" t="s">
        <v>12</v>
      </c>
      <c r="G275" s="12" t="s">
        <v>152</v>
      </c>
      <c r="H275" s="12" t="s">
        <v>86</v>
      </c>
      <c r="I275" s="12">
        <v>16</v>
      </c>
      <c r="J275" s="12">
        <v>153808</v>
      </c>
      <c r="K275" s="12">
        <v>76.430000000000007</v>
      </c>
      <c r="L275" s="12">
        <v>3</v>
      </c>
      <c r="M275" s="12">
        <v>47</v>
      </c>
      <c r="N275" s="12">
        <v>104</v>
      </c>
      <c r="O275" s="12" t="s">
        <v>22</v>
      </c>
      <c r="P275" s="12">
        <v>6.67</v>
      </c>
      <c r="Q275" s="12" t="s">
        <v>23</v>
      </c>
    </row>
    <row r="276" spans="1:17" x14ac:dyDescent="0.3">
      <c r="A276" s="12" t="s">
        <v>626</v>
      </c>
      <c r="B276" s="12" t="s">
        <v>627</v>
      </c>
      <c r="C276" s="12" t="s">
        <v>18</v>
      </c>
      <c r="D276" s="12">
        <v>42</v>
      </c>
      <c r="E276" s="12" t="s">
        <v>55</v>
      </c>
      <c r="F276" s="12" t="s">
        <v>12</v>
      </c>
      <c r="G276" s="12" t="s">
        <v>119</v>
      </c>
      <c r="H276" s="12" t="s">
        <v>62</v>
      </c>
      <c r="I276" s="12">
        <v>3</v>
      </c>
      <c r="J276" s="12">
        <v>71345</v>
      </c>
      <c r="K276" s="12">
        <v>95.36</v>
      </c>
      <c r="L276" s="12">
        <v>12</v>
      </c>
      <c r="M276" s="12">
        <v>40</v>
      </c>
      <c r="N276" s="12">
        <v>23</v>
      </c>
      <c r="O276" s="12" t="s">
        <v>21</v>
      </c>
      <c r="P276" s="12">
        <v>7.38</v>
      </c>
      <c r="Q276" s="12" t="s">
        <v>23</v>
      </c>
    </row>
    <row r="277" spans="1:17" x14ac:dyDescent="0.3">
      <c r="A277" s="12" t="s">
        <v>628</v>
      </c>
      <c r="B277" s="12" t="s">
        <v>629</v>
      </c>
      <c r="C277" s="12" t="s">
        <v>18</v>
      </c>
      <c r="D277" s="12">
        <v>28</v>
      </c>
      <c r="E277" s="12" t="s">
        <v>80</v>
      </c>
      <c r="F277" s="12" t="s">
        <v>13</v>
      </c>
      <c r="G277" s="12" t="s">
        <v>56</v>
      </c>
      <c r="H277" s="12" t="s">
        <v>86</v>
      </c>
      <c r="I277" s="12">
        <v>2</v>
      </c>
      <c r="J277" s="12">
        <v>75358</v>
      </c>
      <c r="K277" s="12">
        <v>82.17</v>
      </c>
      <c r="L277" s="12">
        <v>2</v>
      </c>
      <c r="M277" s="12">
        <v>5</v>
      </c>
      <c r="N277" s="12">
        <v>109</v>
      </c>
      <c r="O277" s="12" t="s">
        <v>22</v>
      </c>
      <c r="P277" s="12">
        <v>6.03</v>
      </c>
      <c r="Q277" s="12" t="s">
        <v>23</v>
      </c>
    </row>
    <row r="278" spans="1:17" x14ac:dyDescent="0.3">
      <c r="A278" s="12" t="s">
        <v>630</v>
      </c>
      <c r="B278" s="12" t="s">
        <v>631</v>
      </c>
      <c r="C278" s="12" t="s">
        <v>18</v>
      </c>
      <c r="D278" s="12">
        <v>42</v>
      </c>
      <c r="E278" s="12" t="s">
        <v>91</v>
      </c>
      <c r="F278" s="12" t="s">
        <v>16</v>
      </c>
      <c r="G278" s="12" t="s">
        <v>271</v>
      </c>
      <c r="H278" s="12" t="s">
        <v>57</v>
      </c>
      <c r="I278" s="12">
        <v>19</v>
      </c>
      <c r="J278" s="12">
        <v>51392</v>
      </c>
      <c r="K278" s="12">
        <v>94.76</v>
      </c>
      <c r="L278" s="12">
        <v>10</v>
      </c>
      <c r="M278" s="12">
        <v>57</v>
      </c>
      <c r="N278" s="12">
        <v>81</v>
      </c>
      <c r="O278" s="12" t="s">
        <v>20</v>
      </c>
      <c r="P278" s="12">
        <v>8.9499999999999993</v>
      </c>
      <c r="Q278" s="12" t="s">
        <v>24</v>
      </c>
    </row>
    <row r="279" spans="1:17" x14ac:dyDescent="0.3">
      <c r="A279" s="12" t="s">
        <v>632</v>
      </c>
      <c r="B279" s="12" t="s">
        <v>633</v>
      </c>
      <c r="C279" s="12" t="s">
        <v>19</v>
      </c>
      <c r="D279" s="12">
        <v>28</v>
      </c>
      <c r="E279" s="12" t="s">
        <v>65</v>
      </c>
      <c r="F279" s="12" t="s">
        <v>14</v>
      </c>
      <c r="G279" s="12" t="s">
        <v>70</v>
      </c>
      <c r="H279" s="12" t="s">
        <v>62</v>
      </c>
      <c r="I279" s="12">
        <v>7</v>
      </c>
      <c r="J279" s="12">
        <v>60441</v>
      </c>
      <c r="K279" s="12">
        <v>84.53</v>
      </c>
      <c r="L279" s="12">
        <v>7</v>
      </c>
      <c r="M279" s="12">
        <v>4</v>
      </c>
      <c r="N279" s="12">
        <v>99</v>
      </c>
      <c r="O279" s="12" t="s">
        <v>22</v>
      </c>
      <c r="P279" s="12">
        <v>7.18</v>
      </c>
      <c r="Q279" s="12" t="s">
        <v>23</v>
      </c>
    </row>
    <row r="280" spans="1:17" x14ac:dyDescent="0.3">
      <c r="A280" s="12" t="s">
        <v>634</v>
      </c>
      <c r="B280" s="12" t="s">
        <v>635</v>
      </c>
      <c r="C280" s="12" t="s">
        <v>19</v>
      </c>
      <c r="D280" s="12">
        <v>45</v>
      </c>
      <c r="E280" s="12" t="s">
        <v>55</v>
      </c>
      <c r="F280" s="12" t="s">
        <v>12</v>
      </c>
      <c r="G280" s="12" t="s">
        <v>152</v>
      </c>
      <c r="H280" s="12" t="s">
        <v>62</v>
      </c>
      <c r="I280" s="12">
        <v>12</v>
      </c>
      <c r="J280" s="12">
        <v>67179</v>
      </c>
      <c r="K280" s="12">
        <v>73.400000000000006</v>
      </c>
      <c r="L280" s="12">
        <v>19</v>
      </c>
      <c r="M280" s="12">
        <v>60</v>
      </c>
      <c r="N280" s="12">
        <v>108</v>
      </c>
      <c r="O280" s="12" t="s">
        <v>20</v>
      </c>
      <c r="P280" s="12">
        <v>8.65</v>
      </c>
      <c r="Q280" s="12" t="s">
        <v>24</v>
      </c>
    </row>
    <row r="281" spans="1:17" x14ac:dyDescent="0.3">
      <c r="A281" s="12" t="s">
        <v>636</v>
      </c>
      <c r="B281" s="12" t="s">
        <v>637</v>
      </c>
      <c r="C281" s="12" t="s">
        <v>19</v>
      </c>
      <c r="D281" s="12">
        <v>32</v>
      </c>
      <c r="E281" s="12" t="s">
        <v>60</v>
      </c>
      <c r="F281" s="12" t="s">
        <v>12</v>
      </c>
      <c r="G281" s="12" t="s">
        <v>92</v>
      </c>
      <c r="H281" s="12" t="s">
        <v>86</v>
      </c>
      <c r="I281" s="12">
        <v>11</v>
      </c>
      <c r="J281" s="12">
        <v>138176</v>
      </c>
      <c r="K281" s="12">
        <v>91.66</v>
      </c>
      <c r="L281" s="12">
        <v>6</v>
      </c>
      <c r="M281" s="12">
        <v>29</v>
      </c>
      <c r="N281" s="12">
        <v>38</v>
      </c>
      <c r="O281" s="12" t="s">
        <v>20</v>
      </c>
      <c r="P281" s="12">
        <v>7</v>
      </c>
      <c r="Q281" s="12" t="s">
        <v>23</v>
      </c>
    </row>
    <row r="282" spans="1:17" x14ac:dyDescent="0.3">
      <c r="A282" s="12" t="s">
        <v>638</v>
      </c>
      <c r="B282" s="12" t="s">
        <v>639</v>
      </c>
      <c r="C282" s="12" t="s">
        <v>18</v>
      </c>
      <c r="D282" s="12">
        <v>46</v>
      </c>
      <c r="E282" s="12" t="s">
        <v>80</v>
      </c>
      <c r="F282" s="12" t="s">
        <v>14</v>
      </c>
      <c r="G282" s="12" t="s">
        <v>70</v>
      </c>
      <c r="H282" s="12" t="s">
        <v>57</v>
      </c>
      <c r="I282" s="12">
        <v>16</v>
      </c>
      <c r="J282" s="12">
        <v>134275</v>
      </c>
      <c r="K282" s="12">
        <v>72.83</v>
      </c>
      <c r="L282" s="12">
        <v>9</v>
      </c>
      <c r="M282" s="12">
        <v>24</v>
      </c>
      <c r="N282" s="12">
        <v>47</v>
      </c>
      <c r="O282" s="12" t="s">
        <v>20</v>
      </c>
      <c r="P282" s="12">
        <v>7.61</v>
      </c>
      <c r="Q282" s="12" t="s">
        <v>23</v>
      </c>
    </row>
    <row r="283" spans="1:17" x14ac:dyDescent="0.3">
      <c r="A283" s="12" t="s">
        <v>640</v>
      </c>
      <c r="B283" s="12" t="s">
        <v>641</v>
      </c>
      <c r="C283" s="12" t="s">
        <v>19</v>
      </c>
      <c r="D283" s="12">
        <v>31</v>
      </c>
      <c r="E283" s="12" t="s">
        <v>80</v>
      </c>
      <c r="F283" s="12" t="s">
        <v>12</v>
      </c>
      <c r="G283" s="12" t="s">
        <v>119</v>
      </c>
      <c r="H283" s="12" t="s">
        <v>62</v>
      </c>
      <c r="I283" s="12">
        <v>1</v>
      </c>
      <c r="J283" s="12">
        <v>159584</v>
      </c>
      <c r="K283" s="12">
        <v>89.66</v>
      </c>
      <c r="L283" s="12">
        <v>19</v>
      </c>
      <c r="M283" s="12">
        <v>46</v>
      </c>
      <c r="N283" s="12">
        <v>18</v>
      </c>
      <c r="O283" s="12" t="s">
        <v>21</v>
      </c>
      <c r="P283" s="12">
        <v>8.35</v>
      </c>
      <c r="Q283" s="12" t="s">
        <v>23</v>
      </c>
    </row>
    <row r="284" spans="1:17" x14ac:dyDescent="0.3">
      <c r="A284" s="12" t="s">
        <v>642</v>
      </c>
      <c r="B284" s="12" t="s">
        <v>643</v>
      </c>
      <c r="C284" s="12" t="s">
        <v>18</v>
      </c>
      <c r="D284" s="12">
        <v>51</v>
      </c>
      <c r="E284" s="12" t="s">
        <v>55</v>
      </c>
      <c r="F284" s="12" t="s">
        <v>13</v>
      </c>
      <c r="G284" s="12" t="s">
        <v>56</v>
      </c>
      <c r="H284" s="12" t="s">
        <v>86</v>
      </c>
      <c r="I284" s="12">
        <v>6</v>
      </c>
      <c r="J284" s="12">
        <v>53919</v>
      </c>
      <c r="K284" s="12">
        <v>85.05</v>
      </c>
      <c r="L284" s="12">
        <v>3</v>
      </c>
      <c r="M284" s="12">
        <v>36</v>
      </c>
      <c r="N284" s="12">
        <v>112</v>
      </c>
      <c r="O284" s="12" t="s">
        <v>20</v>
      </c>
      <c r="P284" s="12">
        <v>7.75</v>
      </c>
      <c r="Q284" s="12" t="s">
        <v>23</v>
      </c>
    </row>
    <row r="285" spans="1:17" x14ac:dyDescent="0.3">
      <c r="A285" s="12" t="s">
        <v>644</v>
      </c>
      <c r="B285" s="12" t="s">
        <v>645</v>
      </c>
      <c r="C285" s="12" t="s">
        <v>19</v>
      </c>
      <c r="D285" s="12">
        <v>48</v>
      </c>
      <c r="E285" s="12" t="s">
        <v>91</v>
      </c>
      <c r="F285" s="12" t="s">
        <v>17</v>
      </c>
      <c r="G285" s="12" t="s">
        <v>99</v>
      </c>
      <c r="H285" s="12" t="s">
        <v>86</v>
      </c>
      <c r="I285" s="12">
        <v>19</v>
      </c>
      <c r="J285" s="12">
        <v>50006</v>
      </c>
      <c r="K285" s="12">
        <v>66.489999999999995</v>
      </c>
      <c r="L285" s="12">
        <v>20</v>
      </c>
      <c r="M285" s="12">
        <v>29</v>
      </c>
      <c r="N285" s="12">
        <v>119</v>
      </c>
      <c r="O285" s="12" t="s">
        <v>20</v>
      </c>
      <c r="P285" s="12">
        <v>9.8800000000000008</v>
      </c>
      <c r="Q285" s="12" t="s">
        <v>24</v>
      </c>
    </row>
    <row r="286" spans="1:17" x14ac:dyDescent="0.3">
      <c r="A286" s="12" t="s">
        <v>646</v>
      </c>
      <c r="B286" s="12" t="s">
        <v>647</v>
      </c>
      <c r="C286" s="12" t="s">
        <v>18</v>
      </c>
      <c r="D286" s="12">
        <v>25</v>
      </c>
      <c r="E286" s="12" t="s">
        <v>80</v>
      </c>
      <c r="F286" s="12" t="s">
        <v>15</v>
      </c>
      <c r="G286" s="12" t="s">
        <v>73</v>
      </c>
      <c r="H286" s="12" t="s">
        <v>57</v>
      </c>
      <c r="I286" s="12">
        <v>4</v>
      </c>
      <c r="J286" s="12">
        <v>84545</v>
      </c>
      <c r="K286" s="12">
        <v>78.59</v>
      </c>
      <c r="L286" s="12">
        <v>1</v>
      </c>
      <c r="M286" s="12">
        <v>43</v>
      </c>
      <c r="N286" s="12">
        <v>112</v>
      </c>
      <c r="O286" s="12" t="s">
        <v>20</v>
      </c>
      <c r="P286" s="12">
        <v>7.24</v>
      </c>
      <c r="Q286" s="12" t="s">
        <v>23</v>
      </c>
    </row>
    <row r="287" spans="1:17" x14ac:dyDescent="0.3">
      <c r="A287" s="12" t="s">
        <v>648</v>
      </c>
      <c r="B287" s="12" t="s">
        <v>649</v>
      </c>
      <c r="C287" s="12" t="s">
        <v>19</v>
      </c>
      <c r="D287" s="12">
        <v>58</v>
      </c>
      <c r="E287" s="12" t="s">
        <v>91</v>
      </c>
      <c r="F287" s="12" t="s">
        <v>14</v>
      </c>
      <c r="G287" s="12" t="s">
        <v>110</v>
      </c>
      <c r="H287" s="12" t="s">
        <v>86</v>
      </c>
      <c r="I287" s="12">
        <v>37</v>
      </c>
      <c r="J287" s="12">
        <v>137372</v>
      </c>
      <c r="K287" s="12">
        <v>85.61</v>
      </c>
      <c r="L287" s="12">
        <v>16</v>
      </c>
      <c r="M287" s="12">
        <v>59</v>
      </c>
      <c r="N287" s="12">
        <v>67</v>
      </c>
      <c r="O287" s="12" t="s">
        <v>22</v>
      </c>
      <c r="P287" s="12">
        <v>8.94</v>
      </c>
      <c r="Q287" s="12" t="s">
        <v>24</v>
      </c>
    </row>
    <row r="288" spans="1:17" x14ac:dyDescent="0.3">
      <c r="A288" s="12" t="s">
        <v>650</v>
      </c>
      <c r="B288" s="12" t="s">
        <v>651</v>
      </c>
      <c r="C288" s="12" t="s">
        <v>18</v>
      </c>
      <c r="D288" s="12">
        <v>46</v>
      </c>
      <c r="E288" s="12" t="s">
        <v>80</v>
      </c>
      <c r="F288" s="12" t="s">
        <v>15</v>
      </c>
      <c r="G288" s="12" t="s">
        <v>61</v>
      </c>
      <c r="H288" s="12" t="s">
        <v>86</v>
      </c>
      <c r="I288" s="12">
        <v>6</v>
      </c>
      <c r="J288" s="12">
        <v>91807</v>
      </c>
      <c r="K288" s="12">
        <v>96.49</v>
      </c>
      <c r="L288" s="12">
        <v>11</v>
      </c>
      <c r="M288" s="12">
        <v>43</v>
      </c>
      <c r="N288" s="12">
        <v>47</v>
      </c>
      <c r="O288" s="12" t="s">
        <v>20</v>
      </c>
      <c r="P288" s="12">
        <v>7.08</v>
      </c>
      <c r="Q288" s="12" t="s">
        <v>23</v>
      </c>
    </row>
    <row r="289" spans="1:17" x14ac:dyDescent="0.3">
      <c r="A289" s="12" t="s">
        <v>652</v>
      </c>
      <c r="B289" s="12" t="s">
        <v>653</v>
      </c>
      <c r="C289" s="12" t="s">
        <v>18</v>
      </c>
      <c r="D289" s="12">
        <v>40</v>
      </c>
      <c r="E289" s="12" t="s">
        <v>80</v>
      </c>
      <c r="F289" s="12" t="s">
        <v>16</v>
      </c>
      <c r="G289" s="12" t="s">
        <v>271</v>
      </c>
      <c r="H289" s="12" t="s">
        <v>62</v>
      </c>
      <c r="I289" s="12">
        <v>2</v>
      </c>
      <c r="J289" s="12">
        <v>92106</v>
      </c>
      <c r="K289" s="12">
        <v>77.66</v>
      </c>
      <c r="L289" s="12">
        <v>13</v>
      </c>
      <c r="M289" s="12">
        <v>6</v>
      </c>
      <c r="N289" s="12">
        <v>35</v>
      </c>
      <c r="O289" s="12" t="s">
        <v>20</v>
      </c>
      <c r="P289" s="12">
        <v>6.21</v>
      </c>
      <c r="Q289" s="12" t="s">
        <v>23</v>
      </c>
    </row>
    <row r="290" spans="1:17" x14ac:dyDescent="0.3">
      <c r="A290" s="12" t="s">
        <v>654</v>
      </c>
      <c r="B290" s="12" t="s">
        <v>655</v>
      </c>
      <c r="C290" s="12" t="s">
        <v>19</v>
      </c>
      <c r="D290" s="12">
        <v>24</v>
      </c>
      <c r="E290" s="12" t="s">
        <v>60</v>
      </c>
      <c r="F290" s="12" t="s">
        <v>14</v>
      </c>
      <c r="G290" s="12" t="s">
        <v>248</v>
      </c>
      <c r="H290" s="12" t="s">
        <v>57</v>
      </c>
      <c r="I290" s="12">
        <v>0</v>
      </c>
      <c r="J290" s="12">
        <v>99808</v>
      </c>
      <c r="K290" s="12">
        <v>77.959999999999994</v>
      </c>
      <c r="L290" s="12">
        <v>8</v>
      </c>
      <c r="M290" s="12">
        <v>40</v>
      </c>
      <c r="N290" s="12">
        <v>35</v>
      </c>
      <c r="O290" s="12" t="s">
        <v>21</v>
      </c>
      <c r="P290" s="12">
        <v>4.63</v>
      </c>
      <c r="Q290" s="12" t="s">
        <v>23</v>
      </c>
    </row>
    <row r="291" spans="1:17" x14ac:dyDescent="0.3">
      <c r="A291" s="12" t="s">
        <v>656</v>
      </c>
      <c r="B291" s="12" t="s">
        <v>657</v>
      </c>
      <c r="C291" s="12" t="s">
        <v>18</v>
      </c>
      <c r="D291" s="12">
        <v>51</v>
      </c>
      <c r="E291" s="12" t="s">
        <v>69</v>
      </c>
      <c r="F291" s="12" t="s">
        <v>15</v>
      </c>
      <c r="G291" s="12" t="s">
        <v>73</v>
      </c>
      <c r="H291" s="12" t="s">
        <v>57</v>
      </c>
      <c r="I291" s="12">
        <v>20</v>
      </c>
      <c r="J291" s="12">
        <v>102656</v>
      </c>
      <c r="K291" s="12">
        <v>95.27</v>
      </c>
      <c r="L291" s="12">
        <v>17</v>
      </c>
      <c r="M291" s="12">
        <v>54</v>
      </c>
      <c r="N291" s="12">
        <v>39</v>
      </c>
      <c r="O291" s="12" t="s">
        <v>21</v>
      </c>
      <c r="P291" s="12">
        <v>8.77</v>
      </c>
      <c r="Q291" s="12" t="s">
        <v>24</v>
      </c>
    </row>
    <row r="292" spans="1:17" x14ac:dyDescent="0.3">
      <c r="A292" s="12" t="s">
        <v>658</v>
      </c>
      <c r="B292" s="12" t="s">
        <v>659</v>
      </c>
      <c r="C292" s="12" t="s">
        <v>19</v>
      </c>
      <c r="D292" s="12">
        <v>28</v>
      </c>
      <c r="E292" s="12" t="s">
        <v>80</v>
      </c>
      <c r="F292" s="12" t="s">
        <v>13</v>
      </c>
      <c r="G292" s="12" t="s">
        <v>56</v>
      </c>
      <c r="H292" s="12" t="s">
        <v>57</v>
      </c>
      <c r="I292" s="12">
        <v>3</v>
      </c>
      <c r="J292" s="12">
        <v>82666</v>
      </c>
      <c r="K292" s="12">
        <v>85.06</v>
      </c>
      <c r="L292" s="12">
        <v>4</v>
      </c>
      <c r="M292" s="12">
        <v>34</v>
      </c>
      <c r="N292" s="12">
        <v>72</v>
      </c>
      <c r="O292" s="12" t="s">
        <v>20</v>
      </c>
      <c r="P292" s="12">
        <v>5.78</v>
      </c>
      <c r="Q292" s="12" t="s">
        <v>23</v>
      </c>
    </row>
    <row r="293" spans="1:17" x14ac:dyDescent="0.3">
      <c r="A293" s="12" t="s">
        <v>660</v>
      </c>
      <c r="B293" s="12" t="s">
        <v>661</v>
      </c>
      <c r="C293" s="12" t="s">
        <v>18</v>
      </c>
      <c r="D293" s="12">
        <v>45</v>
      </c>
      <c r="E293" s="12" t="s">
        <v>65</v>
      </c>
      <c r="F293" s="12" t="s">
        <v>14</v>
      </c>
      <c r="G293" s="12" t="s">
        <v>110</v>
      </c>
      <c r="H293" s="12" t="s">
        <v>62</v>
      </c>
      <c r="I293" s="12">
        <v>6</v>
      </c>
      <c r="J293" s="12">
        <v>121663</v>
      </c>
      <c r="K293" s="12">
        <v>71.209999999999994</v>
      </c>
      <c r="L293" s="12">
        <v>20</v>
      </c>
      <c r="M293" s="12">
        <v>59</v>
      </c>
      <c r="N293" s="12">
        <v>118</v>
      </c>
      <c r="O293" s="12" t="s">
        <v>20</v>
      </c>
      <c r="P293" s="12">
        <v>9.19</v>
      </c>
      <c r="Q293" s="12" t="s">
        <v>24</v>
      </c>
    </row>
    <row r="294" spans="1:17" x14ac:dyDescent="0.3">
      <c r="A294" s="12" t="s">
        <v>662</v>
      </c>
      <c r="B294" s="12" t="s">
        <v>663</v>
      </c>
      <c r="C294" s="12" t="s">
        <v>18</v>
      </c>
      <c r="D294" s="12">
        <v>31</v>
      </c>
      <c r="E294" s="12" t="s">
        <v>65</v>
      </c>
      <c r="F294" s="12" t="s">
        <v>16</v>
      </c>
      <c r="G294" s="12" t="s">
        <v>76</v>
      </c>
      <c r="H294" s="12" t="s">
        <v>77</v>
      </c>
      <c r="I294" s="12">
        <v>3</v>
      </c>
      <c r="J294" s="12">
        <v>41148</v>
      </c>
      <c r="K294" s="12">
        <v>97.46</v>
      </c>
      <c r="L294" s="12">
        <v>20</v>
      </c>
      <c r="M294" s="12">
        <v>19</v>
      </c>
      <c r="N294" s="12">
        <v>16</v>
      </c>
      <c r="O294" s="12" t="s">
        <v>21</v>
      </c>
      <c r="P294" s="12">
        <v>9</v>
      </c>
      <c r="Q294" s="12" t="s">
        <v>24</v>
      </c>
    </row>
    <row r="295" spans="1:17" x14ac:dyDescent="0.3">
      <c r="A295" s="12" t="s">
        <v>664</v>
      </c>
      <c r="B295" s="12" t="s">
        <v>665</v>
      </c>
      <c r="C295" s="12" t="s">
        <v>18</v>
      </c>
      <c r="D295" s="12">
        <v>44</v>
      </c>
      <c r="E295" s="12" t="s">
        <v>60</v>
      </c>
      <c r="F295" s="12" t="s">
        <v>17</v>
      </c>
      <c r="G295" s="12" t="s">
        <v>135</v>
      </c>
      <c r="H295" s="12" t="s">
        <v>86</v>
      </c>
      <c r="I295" s="12">
        <v>21</v>
      </c>
      <c r="J295" s="12">
        <v>86694</v>
      </c>
      <c r="K295" s="12">
        <v>98.39</v>
      </c>
      <c r="L295" s="12">
        <v>12</v>
      </c>
      <c r="M295" s="12">
        <v>13</v>
      </c>
      <c r="N295" s="12">
        <v>112</v>
      </c>
      <c r="O295" s="12" t="s">
        <v>20</v>
      </c>
      <c r="P295" s="12">
        <v>9.0399999999999991</v>
      </c>
      <c r="Q295" s="12" t="s">
        <v>24</v>
      </c>
    </row>
    <row r="296" spans="1:17" x14ac:dyDescent="0.3">
      <c r="A296" s="12" t="s">
        <v>666</v>
      </c>
      <c r="B296" s="12" t="s">
        <v>667</v>
      </c>
      <c r="C296" s="12" t="s">
        <v>19</v>
      </c>
      <c r="D296" s="12">
        <v>31</v>
      </c>
      <c r="E296" s="12" t="s">
        <v>65</v>
      </c>
      <c r="F296" s="12" t="s">
        <v>15</v>
      </c>
      <c r="G296" s="12" t="s">
        <v>61</v>
      </c>
      <c r="H296" s="12" t="s">
        <v>62</v>
      </c>
      <c r="I296" s="12">
        <v>3</v>
      </c>
      <c r="J296" s="12">
        <v>55255</v>
      </c>
      <c r="K296" s="12">
        <v>66.41</v>
      </c>
      <c r="L296" s="12">
        <v>8</v>
      </c>
      <c r="M296" s="12">
        <v>2</v>
      </c>
      <c r="N296" s="12">
        <v>93</v>
      </c>
      <c r="O296" s="12" t="s">
        <v>21</v>
      </c>
      <c r="P296" s="12">
        <v>7.38</v>
      </c>
      <c r="Q296" s="12" t="s">
        <v>23</v>
      </c>
    </row>
    <row r="297" spans="1:17" x14ac:dyDescent="0.3">
      <c r="A297" s="12" t="s">
        <v>668</v>
      </c>
      <c r="B297" s="12" t="s">
        <v>669</v>
      </c>
      <c r="C297" s="12" t="s">
        <v>18</v>
      </c>
      <c r="D297" s="12">
        <v>25</v>
      </c>
      <c r="E297" s="12" t="s">
        <v>69</v>
      </c>
      <c r="F297" s="12" t="s">
        <v>15</v>
      </c>
      <c r="G297" s="12" t="s">
        <v>73</v>
      </c>
      <c r="H297" s="12" t="s">
        <v>62</v>
      </c>
      <c r="I297" s="12">
        <v>4</v>
      </c>
      <c r="J297" s="12">
        <v>89613</v>
      </c>
      <c r="K297" s="12">
        <v>70.34</v>
      </c>
      <c r="L297" s="12">
        <v>18</v>
      </c>
      <c r="M297" s="12">
        <v>13</v>
      </c>
      <c r="N297" s="12">
        <v>57</v>
      </c>
      <c r="O297" s="12" t="s">
        <v>22</v>
      </c>
      <c r="P297" s="12">
        <v>7.17</v>
      </c>
      <c r="Q297" s="12" t="s">
        <v>23</v>
      </c>
    </row>
    <row r="298" spans="1:17" x14ac:dyDescent="0.3">
      <c r="A298" s="12" t="s">
        <v>670</v>
      </c>
      <c r="B298" s="12" t="s">
        <v>671</v>
      </c>
      <c r="C298" s="12" t="s">
        <v>18</v>
      </c>
      <c r="D298" s="12">
        <v>57</v>
      </c>
      <c r="E298" s="12" t="s">
        <v>80</v>
      </c>
      <c r="F298" s="12" t="s">
        <v>12</v>
      </c>
      <c r="G298" s="12" t="s">
        <v>92</v>
      </c>
      <c r="H298" s="12" t="s">
        <v>77</v>
      </c>
      <c r="I298" s="12">
        <v>33</v>
      </c>
      <c r="J298" s="12">
        <v>67972</v>
      </c>
      <c r="K298" s="12">
        <v>93.84</v>
      </c>
      <c r="L298" s="12">
        <v>5</v>
      </c>
      <c r="M298" s="12">
        <v>51</v>
      </c>
      <c r="N298" s="12">
        <v>43</v>
      </c>
      <c r="O298" s="12" t="s">
        <v>21</v>
      </c>
      <c r="P298" s="12">
        <v>8.36</v>
      </c>
      <c r="Q298" s="12" t="s">
        <v>23</v>
      </c>
    </row>
    <row r="299" spans="1:17" x14ac:dyDescent="0.3">
      <c r="A299" s="12" t="s">
        <v>672</v>
      </c>
      <c r="B299" s="12" t="s">
        <v>673</v>
      </c>
      <c r="C299" s="12" t="s">
        <v>18</v>
      </c>
      <c r="D299" s="12">
        <v>54</v>
      </c>
      <c r="E299" s="12" t="s">
        <v>65</v>
      </c>
      <c r="F299" s="12" t="s">
        <v>15</v>
      </c>
      <c r="G299" s="12" t="s">
        <v>61</v>
      </c>
      <c r="H299" s="12" t="s">
        <v>77</v>
      </c>
      <c r="I299" s="12">
        <v>19</v>
      </c>
      <c r="J299" s="12">
        <v>37711</v>
      </c>
      <c r="K299" s="12">
        <v>84.55</v>
      </c>
      <c r="L299" s="12">
        <v>18</v>
      </c>
      <c r="M299" s="12">
        <v>59</v>
      </c>
      <c r="N299" s="12">
        <v>10</v>
      </c>
      <c r="O299" s="12" t="s">
        <v>22</v>
      </c>
      <c r="P299" s="12">
        <v>7.41</v>
      </c>
      <c r="Q299" s="12" t="s">
        <v>23</v>
      </c>
    </row>
    <row r="300" spans="1:17" x14ac:dyDescent="0.3">
      <c r="A300" s="12" t="s">
        <v>674</v>
      </c>
      <c r="B300" s="12" t="s">
        <v>675</v>
      </c>
      <c r="C300" s="12" t="s">
        <v>18</v>
      </c>
      <c r="D300" s="12">
        <v>54</v>
      </c>
      <c r="E300" s="12" t="s">
        <v>69</v>
      </c>
      <c r="F300" s="12" t="s">
        <v>17</v>
      </c>
      <c r="G300" s="12" t="s">
        <v>135</v>
      </c>
      <c r="H300" s="12" t="s">
        <v>77</v>
      </c>
      <c r="I300" s="12">
        <v>19</v>
      </c>
      <c r="J300" s="12">
        <v>52978</v>
      </c>
      <c r="K300" s="12">
        <v>65.150000000000006</v>
      </c>
      <c r="L300" s="12">
        <v>3</v>
      </c>
      <c r="M300" s="12">
        <v>11</v>
      </c>
      <c r="N300" s="12">
        <v>93</v>
      </c>
      <c r="O300" s="12" t="s">
        <v>20</v>
      </c>
      <c r="P300" s="12">
        <v>6.8</v>
      </c>
      <c r="Q300" s="12" t="s">
        <v>23</v>
      </c>
    </row>
    <row r="301" spans="1:17" x14ac:dyDescent="0.3">
      <c r="A301" s="12" t="s">
        <v>676</v>
      </c>
      <c r="B301" s="12" t="s">
        <v>677</v>
      </c>
      <c r="C301" s="12" t="s">
        <v>19</v>
      </c>
      <c r="D301" s="12">
        <v>47</v>
      </c>
      <c r="E301" s="12" t="s">
        <v>91</v>
      </c>
      <c r="F301" s="12" t="s">
        <v>12</v>
      </c>
      <c r="G301" s="12" t="s">
        <v>119</v>
      </c>
      <c r="H301" s="12" t="s">
        <v>62</v>
      </c>
      <c r="I301" s="12">
        <v>22</v>
      </c>
      <c r="J301" s="12">
        <v>153962</v>
      </c>
      <c r="K301" s="12">
        <v>68.16</v>
      </c>
      <c r="L301" s="12">
        <v>5</v>
      </c>
      <c r="M301" s="12">
        <v>25</v>
      </c>
      <c r="N301" s="12">
        <v>81</v>
      </c>
      <c r="O301" s="12" t="s">
        <v>22</v>
      </c>
      <c r="P301" s="12">
        <v>6.51</v>
      </c>
      <c r="Q301" s="12" t="s">
        <v>23</v>
      </c>
    </row>
    <row r="302" spans="1:17" x14ac:dyDescent="0.3">
      <c r="A302" s="12" t="s">
        <v>678</v>
      </c>
      <c r="B302" s="12" t="s">
        <v>679</v>
      </c>
      <c r="C302" s="12" t="s">
        <v>19</v>
      </c>
      <c r="D302" s="12">
        <v>37</v>
      </c>
      <c r="E302" s="12" t="s">
        <v>65</v>
      </c>
      <c r="F302" s="12" t="s">
        <v>16</v>
      </c>
      <c r="G302" s="12" t="s">
        <v>271</v>
      </c>
      <c r="H302" s="12" t="s">
        <v>86</v>
      </c>
      <c r="I302" s="12">
        <v>9</v>
      </c>
      <c r="J302" s="12">
        <v>98201</v>
      </c>
      <c r="K302" s="12">
        <v>71.39</v>
      </c>
      <c r="L302" s="12">
        <v>11</v>
      </c>
      <c r="M302" s="12">
        <v>30</v>
      </c>
      <c r="N302" s="12">
        <v>20</v>
      </c>
      <c r="O302" s="12" t="s">
        <v>22</v>
      </c>
      <c r="P302" s="12">
        <v>6.45</v>
      </c>
      <c r="Q302" s="12" t="s">
        <v>23</v>
      </c>
    </row>
    <row r="303" spans="1:17" x14ac:dyDescent="0.3">
      <c r="A303" s="12" t="s">
        <v>680</v>
      </c>
      <c r="B303" s="12" t="s">
        <v>681</v>
      </c>
      <c r="C303" s="12" t="s">
        <v>19</v>
      </c>
      <c r="D303" s="12">
        <v>22</v>
      </c>
      <c r="E303" s="12" t="s">
        <v>69</v>
      </c>
      <c r="F303" s="12" t="s">
        <v>15</v>
      </c>
      <c r="G303" s="12" t="s">
        <v>73</v>
      </c>
      <c r="H303" s="12" t="s">
        <v>57</v>
      </c>
      <c r="I303" s="12">
        <v>0</v>
      </c>
      <c r="J303" s="12">
        <v>59543</v>
      </c>
      <c r="K303" s="12">
        <v>96.08</v>
      </c>
      <c r="L303" s="12">
        <v>8</v>
      </c>
      <c r="M303" s="12">
        <v>16</v>
      </c>
      <c r="N303" s="12">
        <v>72</v>
      </c>
      <c r="O303" s="12" t="s">
        <v>20</v>
      </c>
      <c r="P303" s="12">
        <v>6.7</v>
      </c>
      <c r="Q303" s="12" t="s">
        <v>23</v>
      </c>
    </row>
    <row r="304" spans="1:17" x14ac:dyDescent="0.3">
      <c r="A304" s="12" t="s">
        <v>682</v>
      </c>
      <c r="B304" s="12" t="s">
        <v>683</v>
      </c>
      <c r="C304" s="12" t="s">
        <v>19</v>
      </c>
      <c r="D304" s="12">
        <v>44</v>
      </c>
      <c r="E304" s="12" t="s">
        <v>65</v>
      </c>
      <c r="F304" s="12" t="s">
        <v>17</v>
      </c>
      <c r="G304" s="12" t="s">
        <v>102</v>
      </c>
      <c r="H304" s="12" t="s">
        <v>57</v>
      </c>
      <c r="I304" s="12">
        <v>10</v>
      </c>
      <c r="J304" s="12">
        <v>54644</v>
      </c>
      <c r="K304" s="12">
        <v>94.94</v>
      </c>
      <c r="L304" s="12">
        <v>10</v>
      </c>
      <c r="M304" s="12">
        <v>45</v>
      </c>
      <c r="N304" s="12">
        <v>26</v>
      </c>
      <c r="O304" s="12" t="s">
        <v>20</v>
      </c>
      <c r="P304" s="12">
        <v>7.01</v>
      </c>
      <c r="Q304" s="12" t="s">
        <v>23</v>
      </c>
    </row>
    <row r="305" spans="1:17" x14ac:dyDescent="0.3">
      <c r="A305" s="12" t="s">
        <v>684</v>
      </c>
      <c r="B305" s="12" t="s">
        <v>685</v>
      </c>
      <c r="C305" s="12" t="s">
        <v>18</v>
      </c>
      <c r="D305" s="12">
        <v>54</v>
      </c>
      <c r="E305" s="12" t="s">
        <v>65</v>
      </c>
      <c r="F305" s="12" t="s">
        <v>12</v>
      </c>
      <c r="G305" s="12" t="s">
        <v>119</v>
      </c>
      <c r="H305" s="12" t="s">
        <v>57</v>
      </c>
      <c r="I305" s="12">
        <v>13</v>
      </c>
      <c r="J305" s="12">
        <v>77811</v>
      </c>
      <c r="K305" s="12">
        <v>88</v>
      </c>
      <c r="L305" s="12">
        <v>12</v>
      </c>
      <c r="M305" s="12">
        <v>39</v>
      </c>
      <c r="N305" s="12">
        <v>17</v>
      </c>
      <c r="O305" s="12" t="s">
        <v>20</v>
      </c>
      <c r="P305" s="12">
        <v>7.47</v>
      </c>
      <c r="Q305" s="12" t="s">
        <v>23</v>
      </c>
    </row>
    <row r="306" spans="1:17" x14ac:dyDescent="0.3">
      <c r="A306" s="12" t="s">
        <v>686</v>
      </c>
      <c r="B306" s="12" t="s">
        <v>687</v>
      </c>
      <c r="C306" s="12" t="s">
        <v>18</v>
      </c>
      <c r="D306" s="12">
        <v>35</v>
      </c>
      <c r="E306" s="12" t="s">
        <v>69</v>
      </c>
      <c r="F306" s="12" t="s">
        <v>16</v>
      </c>
      <c r="G306" s="12" t="s">
        <v>271</v>
      </c>
      <c r="H306" s="12" t="s">
        <v>57</v>
      </c>
      <c r="I306" s="12">
        <v>3</v>
      </c>
      <c r="J306" s="12">
        <v>85951</v>
      </c>
      <c r="K306" s="12">
        <v>77.36</v>
      </c>
      <c r="L306" s="12">
        <v>20</v>
      </c>
      <c r="M306" s="12">
        <v>5</v>
      </c>
      <c r="N306" s="12">
        <v>32</v>
      </c>
      <c r="O306" s="12" t="s">
        <v>21</v>
      </c>
      <c r="P306" s="12">
        <v>8.1999999999999993</v>
      </c>
      <c r="Q306" s="12" t="s">
        <v>23</v>
      </c>
    </row>
    <row r="307" spans="1:17" x14ac:dyDescent="0.3">
      <c r="A307" s="12" t="s">
        <v>688</v>
      </c>
      <c r="B307" s="12" t="s">
        <v>689</v>
      </c>
      <c r="C307" s="12" t="s">
        <v>19</v>
      </c>
      <c r="D307" s="12">
        <v>39</v>
      </c>
      <c r="E307" s="12" t="s">
        <v>60</v>
      </c>
      <c r="F307" s="12" t="s">
        <v>13</v>
      </c>
      <c r="G307" s="12" t="s">
        <v>107</v>
      </c>
      <c r="H307" s="12" t="s">
        <v>62</v>
      </c>
      <c r="I307" s="12">
        <v>10</v>
      </c>
      <c r="J307" s="12">
        <v>77842</v>
      </c>
      <c r="K307" s="12">
        <v>71.53</v>
      </c>
      <c r="L307" s="12">
        <v>12</v>
      </c>
      <c r="M307" s="12">
        <v>37</v>
      </c>
      <c r="N307" s="12">
        <v>46</v>
      </c>
      <c r="O307" s="12" t="s">
        <v>22</v>
      </c>
      <c r="P307" s="12">
        <v>7.4</v>
      </c>
      <c r="Q307" s="12" t="s">
        <v>23</v>
      </c>
    </row>
    <row r="308" spans="1:17" x14ac:dyDescent="0.3">
      <c r="A308" s="12" t="s">
        <v>690</v>
      </c>
      <c r="B308" s="12" t="s">
        <v>691</v>
      </c>
      <c r="C308" s="12" t="s">
        <v>19</v>
      </c>
      <c r="D308" s="12">
        <v>27</v>
      </c>
      <c r="E308" s="12" t="s">
        <v>91</v>
      </c>
      <c r="F308" s="12" t="s">
        <v>16</v>
      </c>
      <c r="G308" s="12" t="s">
        <v>271</v>
      </c>
      <c r="H308" s="12" t="s">
        <v>57</v>
      </c>
      <c r="I308" s="12">
        <v>5</v>
      </c>
      <c r="J308" s="12">
        <v>107140</v>
      </c>
      <c r="K308" s="12">
        <v>72.95</v>
      </c>
      <c r="L308" s="12">
        <v>3</v>
      </c>
      <c r="M308" s="12">
        <v>4</v>
      </c>
      <c r="N308" s="12">
        <v>81</v>
      </c>
      <c r="O308" s="12" t="s">
        <v>20</v>
      </c>
      <c r="P308" s="12">
        <v>6.59</v>
      </c>
      <c r="Q308" s="12" t="s">
        <v>23</v>
      </c>
    </row>
    <row r="309" spans="1:17" x14ac:dyDescent="0.3">
      <c r="A309" s="12" t="s">
        <v>692</v>
      </c>
      <c r="B309" s="12" t="s">
        <v>693</v>
      </c>
      <c r="C309" s="12" t="s">
        <v>18</v>
      </c>
      <c r="D309" s="12">
        <v>44</v>
      </c>
      <c r="E309" s="12" t="s">
        <v>60</v>
      </c>
      <c r="F309" s="12" t="s">
        <v>16</v>
      </c>
      <c r="G309" s="12" t="s">
        <v>181</v>
      </c>
      <c r="H309" s="12" t="s">
        <v>86</v>
      </c>
      <c r="I309" s="12">
        <v>7</v>
      </c>
      <c r="J309" s="12">
        <v>111743</v>
      </c>
      <c r="K309" s="12">
        <v>84.74</v>
      </c>
      <c r="L309" s="12">
        <v>20</v>
      </c>
      <c r="M309" s="12">
        <v>35</v>
      </c>
      <c r="N309" s="12">
        <v>104</v>
      </c>
      <c r="O309" s="12" t="s">
        <v>21</v>
      </c>
      <c r="P309" s="12">
        <v>10</v>
      </c>
      <c r="Q309" s="12" t="s">
        <v>24</v>
      </c>
    </row>
    <row r="310" spans="1:17" x14ac:dyDescent="0.3">
      <c r="A310" s="12" t="s">
        <v>694</v>
      </c>
      <c r="B310" s="12" t="s">
        <v>695</v>
      </c>
      <c r="C310" s="12" t="s">
        <v>19</v>
      </c>
      <c r="D310" s="12">
        <v>53</v>
      </c>
      <c r="E310" s="12" t="s">
        <v>80</v>
      </c>
      <c r="F310" s="12" t="s">
        <v>16</v>
      </c>
      <c r="G310" s="12" t="s">
        <v>181</v>
      </c>
      <c r="H310" s="12" t="s">
        <v>86</v>
      </c>
      <c r="I310" s="12">
        <v>1</v>
      </c>
      <c r="J310" s="12">
        <v>118147</v>
      </c>
      <c r="K310" s="12">
        <v>83.21</v>
      </c>
      <c r="L310" s="12">
        <v>11</v>
      </c>
      <c r="M310" s="12">
        <v>20</v>
      </c>
      <c r="N310" s="12">
        <v>49</v>
      </c>
      <c r="O310" s="12" t="s">
        <v>22</v>
      </c>
      <c r="P310" s="12">
        <v>7.34</v>
      </c>
      <c r="Q310" s="12" t="s">
        <v>23</v>
      </c>
    </row>
    <row r="311" spans="1:17" x14ac:dyDescent="0.3">
      <c r="A311" s="12" t="s">
        <v>696</v>
      </c>
      <c r="B311" s="12" t="s">
        <v>697</v>
      </c>
      <c r="C311" s="12" t="s">
        <v>19</v>
      </c>
      <c r="D311" s="12">
        <v>55</v>
      </c>
      <c r="E311" s="12" t="s">
        <v>91</v>
      </c>
      <c r="F311" s="12" t="s">
        <v>17</v>
      </c>
      <c r="G311" s="12" t="s">
        <v>102</v>
      </c>
      <c r="H311" s="12" t="s">
        <v>62</v>
      </c>
      <c r="I311" s="12">
        <v>15</v>
      </c>
      <c r="J311" s="12">
        <v>126024</v>
      </c>
      <c r="K311" s="12">
        <v>74.09</v>
      </c>
      <c r="L311" s="12">
        <v>19</v>
      </c>
      <c r="M311" s="12">
        <v>37</v>
      </c>
      <c r="N311" s="12">
        <v>56</v>
      </c>
      <c r="O311" s="12" t="s">
        <v>21</v>
      </c>
      <c r="P311" s="12">
        <v>8.76</v>
      </c>
      <c r="Q311" s="12" t="s">
        <v>24</v>
      </c>
    </row>
    <row r="312" spans="1:17" x14ac:dyDescent="0.3">
      <c r="A312" s="12" t="s">
        <v>698</v>
      </c>
      <c r="B312" s="12" t="s">
        <v>699</v>
      </c>
      <c r="C312" s="12" t="s">
        <v>19</v>
      </c>
      <c r="D312" s="12">
        <v>55</v>
      </c>
      <c r="E312" s="12" t="s">
        <v>80</v>
      </c>
      <c r="F312" s="12" t="s">
        <v>12</v>
      </c>
      <c r="G312" s="12" t="s">
        <v>92</v>
      </c>
      <c r="H312" s="12" t="s">
        <v>77</v>
      </c>
      <c r="I312" s="12">
        <v>24</v>
      </c>
      <c r="J312" s="12">
        <v>120879</v>
      </c>
      <c r="K312" s="12">
        <v>90.58</v>
      </c>
      <c r="L312" s="12">
        <v>5</v>
      </c>
      <c r="M312" s="12">
        <v>46</v>
      </c>
      <c r="N312" s="12">
        <v>41</v>
      </c>
      <c r="O312" s="12" t="s">
        <v>22</v>
      </c>
      <c r="P312" s="12">
        <v>6.47</v>
      </c>
      <c r="Q312" s="12" t="s">
        <v>23</v>
      </c>
    </row>
    <row r="313" spans="1:17" x14ac:dyDescent="0.3">
      <c r="A313" s="12" t="s">
        <v>700</v>
      </c>
      <c r="B313" s="12" t="s">
        <v>6</v>
      </c>
      <c r="C313" s="12" t="s">
        <v>18</v>
      </c>
      <c r="D313" s="12">
        <v>46</v>
      </c>
      <c r="E313" s="12" t="s">
        <v>80</v>
      </c>
      <c r="F313" s="12" t="s">
        <v>12</v>
      </c>
      <c r="G313" s="12" t="s">
        <v>92</v>
      </c>
      <c r="H313" s="12" t="s">
        <v>86</v>
      </c>
      <c r="I313" s="12">
        <v>4</v>
      </c>
      <c r="J313" s="12">
        <v>133660</v>
      </c>
      <c r="K313" s="12">
        <v>67.13</v>
      </c>
      <c r="L313" s="12">
        <v>13</v>
      </c>
      <c r="M313" s="12">
        <v>16</v>
      </c>
      <c r="N313" s="12">
        <v>70</v>
      </c>
      <c r="O313" s="12" t="s">
        <v>20</v>
      </c>
      <c r="P313" s="12">
        <v>6.52</v>
      </c>
      <c r="Q313" s="12" t="s">
        <v>23</v>
      </c>
    </row>
    <row r="314" spans="1:17" x14ac:dyDescent="0.3">
      <c r="A314" s="12" t="s">
        <v>701</v>
      </c>
      <c r="B314" s="12" t="s">
        <v>702</v>
      </c>
      <c r="C314" s="12" t="s">
        <v>18</v>
      </c>
      <c r="D314" s="12">
        <v>33</v>
      </c>
      <c r="E314" s="12" t="s">
        <v>65</v>
      </c>
      <c r="F314" s="12" t="s">
        <v>13</v>
      </c>
      <c r="G314" s="12" t="s">
        <v>66</v>
      </c>
      <c r="H314" s="12" t="s">
        <v>62</v>
      </c>
      <c r="I314" s="12">
        <v>8</v>
      </c>
      <c r="J314" s="12">
        <v>83251</v>
      </c>
      <c r="K314" s="12">
        <v>82.66</v>
      </c>
      <c r="L314" s="12">
        <v>17</v>
      </c>
      <c r="M314" s="12">
        <v>10</v>
      </c>
      <c r="N314" s="12">
        <v>26</v>
      </c>
      <c r="O314" s="12" t="s">
        <v>22</v>
      </c>
      <c r="P314" s="12">
        <v>7.51</v>
      </c>
      <c r="Q314" s="12" t="s">
        <v>23</v>
      </c>
    </row>
    <row r="315" spans="1:17" x14ac:dyDescent="0.3">
      <c r="A315" s="12" t="s">
        <v>703</v>
      </c>
      <c r="B315" s="12" t="s">
        <v>704</v>
      </c>
      <c r="C315" s="12" t="s">
        <v>18</v>
      </c>
      <c r="D315" s="12">
        <v>58</v>
      </c>
      <c r="E315" s="12" t="s">
        <v>65</v>
      </c>
      <c r="F315" s="12" t="s">
        <v>14</v>
      </c>
      <c r="G315" s="12" t="s">
        <v>110</v>
      </c>
      <c r="H315" s="12" t="s">
        <v>57</v>
      </c>
      <c r="I315" s="12">
        <v>1</v>
      </c>
      <c r="J315" s="12">
        <v>103891</v>
      </c>
      <c r="K315" s="12">
        <v>88.32</v>
      </c>
      <c r="L315" s="12">
        <v>6</v>
      </c>
      <c r="M315" s="12">
        <v>13</v>
      </c>
      <c r="N315" s="12">
        <v>116</v>
      </c>
      <c r="O315" s="12" t="s">
        <v>20</v>
      </c>
      <c r="P315" s="12">
        <v>8.02</v>
      </c>
      <c r="Q315" s="12" t="s">
        <v>23</v>
      </c>
    </row>
    <row r="316" spans="1:17" x14ac:dyDescent="0.3">
      <c r="A316" s="12" t="s">
        <v>705</v>
      </c>
      <c r="B316" s="12" t="s">
        <v>706</v>
      </c>
      <c r="C316" s="12" t="s">
        <v>19</v>
      </c>
      <c r="D316" s="12">
        <v>41</v>
      </c>
      <c r="E316" s="12" t="s">
        <v>80</v>
      </c>
      <c r="F316" s="12" t="s">
        <v>12</v>
      </c>
      <c r="G316" s="12" t="s">
        <v>119</v>
      </c>
      <c r="H316" s="12" t="s">
        <v>77</v>
      </c>
      <c r="I316" s="12">
        <v>1</v>
      </c>
      <c r="J316" s="12">
        <v>135323</v>
      </c>
      <c r="K316" s="12">
        <v>94.57</v>
      </c>
      <c r="L316" s="12">
        <v>5</v>
      </c>
      <c r="M316" s="12">
        <v>51</v>
      </c>
      <c r="N316" s="12">
        <v>13</v>
      </c>
      <c r="O316" s="12" t="s">
        <v>20</v>
      </c>
      <c r="P316" s="12">
        <v>6.09</v>
      </c>
      <c r="Q316" s="12" t="s">
        <v>23</v>
      </c>
    </row>
    <row r="317" spans="1:17" x14ac:dyDescent="0.3">
      <c r="A317" s="12" t="s">
        <v>707</v>
      </c>
      <c r="B317" s="12" t="s">
        <v>708</v>
      </c>
      <c r="C317" s="12" t="s">
        <v>19</v>
      </c>
      <c r="D317" s="12">
        <v>58</v>
      </c>
      <c r="E317" s="12" t="s">
        <v>91</v>
      </c>
      <c r="F317" s="12" t="s">
        <v>17</v>
      </c>
      <c r="G317" s="12" t="s">
        <v>99</v>
      </c>
      <c r="H317" s="12" t="s">
        <v>62</v>
      </c>
      <c r="I317" s="12">
        <v>4</v>
      </c>
      <c r="J317" s="12">
        <v>85606</v>
      </c>
      <c r="K317" s="12">
        <v>96.94</v>
      </c>
      <c r="L317" s="12">
        <v>15</v>
      </c>
      <c r="M317" s="12">
        <v>58</v>
      </c>
      <c r="N317" s="12">
        <v>58</v>
      </c>
      <c r="O317" s="12" t="s">
        <v>20</v>
      </c>
      <c r="P317" s="12">
        <v>6.97</v>
      </c>
      <c r="Q317" s="12" t="s">
        <v>23</v>
      </c>
    </row>
    <row r="318" spans="1:17" x14ac:dyDescent="0.3">
      <c r="A318" s="12" t="s">
        <v>709</v>
      </c>
      <c r="B318" s="12" t="s">
        <v>710</v>
      </c>
      <c r="C318" s="12" t="s">
        <v>19</v>
      </c>
      <c r="D318" s="12">
        <v>53</v>
      </c>
      <c r="E318" s="12" t="s">
        <v>65</v>
      </c>
      <c r="F318" s="12" t="s">
        <v>13</v>
      </c>
      <c r="G318" s="12" t="s">
        <v>56</v>
      </c>
      <c r="H318" s="12" t="s">
        <v>86</v>
      </c>
      <c r="I318" s="12">
        <v>12</v>
      </c>
      <c r="J318" s="12">
        <v>76960</v>
      </c>
      <c r="K318" s="12">
        <v>92.9</v>
      </c>
      <c r="L318" s="12">
        <v>3</v>
      </c>
      <c r="M318" s="12">
        <v>8</v>
      </c>
      <c r="N318" s="12">
        <v>56</v>
      </c>
      <c r="O318" s="12" t="s">
        <v>20</v>
      </c>
      <c r="P318" s="12">
        <v>7.46</v>
      </c>
      <c r="Q318" s="12" t="s">
        <v>23</v>
      </c>
    </row>
    <row r="319" spans="1:17" x14ac:dyDescent="0.3">
      <c r="A319" s="12" t="s">
        <v>711</v>
      </c>
      <c r="B319" s="12" t="s">
        <v>712</v>
      </c>
      <c r="C319" s="12" t="s">
        <v>19</v>
      </c>
      <c r="D319" s="12">
        <v>35</v>
      </c>
      <c r="E319" s="12" t="s">
        <v>55</v>
      </c>
      <c r="F319" s="12" t="s">
        <v>17</v>
      </c>
      <c r="G319" s="12" t="s">
        <v>102</v>
      </c>
      <c r="H319" s="12" t="s">
        <v>77</v>
      </c>
      <c r="I319" s="12">
        <v>1</v>
      </c>
      <c r="J319" s="12">
        <v>80335</v>
      </c>
      <c r="K319" s="12">
        <v>96.01</v>
      </c>
      <c r="L319" s="12">
        <v>13</v>
      </c>
      <c r="M319" s="12">
        <v>43</v>
      </c>
      <c r="N319" s="12">
        <v>37</v>
      </c>
      <c r="O319" s="12" t="s">
        <v>20</v>
      </c>
      <c r="P319" s="12">
        <v>6.57</v>
      </c>
      <c r="Q319" s="12" t="s">
        <v>23</v>
      </c>
    </row>
    <row r="320" spans="1:17" x14ac:dyDescent="0.3">
      <c r="A320" s="12" t="s">
        <v>713</v>
      </c>
      <c r="B320" s="12" t="s">
        <v>714</v>
      </c>
      <c r="C320" s="12" t="s">
        <v>18</v>
      </c>
      <c r="D320" s="12">
        <v>55</v>
      </c>
      <c r="E320" s="12" t="s">
        <v>65</v>
      </c>
      <c r="F320" s="12" t="s">
        <v>17</v>
      </c>
      <c r="G320" s="12" t="s">
        <v>135</v>
      </c>
      <c r="H320" s="12" t="s">
        <v>77</v>
      </c>
      <c r="I320" s="12">
        <v>23</v>
      </c>
      <c r="J320" s="12">
        <v>98263</v>
      </c>
      <c r="K320" s="12">
        <v>82.81</v>
      </c>
      <c r="L320" s="12">
        <v>1</v>
      </c>
      <c r="M320" s="12">
        <v>42</v>
      </c>
      <c r="N320" s="12">
        <v>24</v>
      </c>
      <c r="O320" s="12" t="s">
        <v>22</v>
      </c>
      <c r="P320" s="12">
        <v>5.86</v>
      </c>
      <c r="Q320" s="12" t="s">
        <v>23</v>
      </c>
    </row>
    <row r="321" spans="1:17" x14ac:dyDescent="0.3">
      <c r="A321" s="12" t="s">
        <v>715</v>
      </c>
      <c r="B321" s="12" t="s">
        <v>716</v>
      </c>
      <c r="C321" s="12" t="s">
        <v>18</v>
      </c>
      <c r="D321" s="12">
        <v>45</v>
      </c>
      <c r="E321" s="12" t="s">
        <v>65</v>
      </c>
      <c r="F321" s="12" t="s">
        <v>15</v>
      </c>
      <c r="G321" s="12" t="s">
        <v>73</v>
      </c>
      <c r="H321" s="12" t="s">
        <v>77</v>
      </c>
      <c r="I321" s="12">
        <v>20</v>
      </c>
      <c r="J321" s="12">
        <v>41716</v>
      </c>
      <c r="K321" s="12">
        <v>84.95</v>
      </c>
      <c r="L321" s="12">
        <v>19</v>
      </c>
      <c r="M321" s="12">
        <v>26</v>
      </c>
      <c r="N321" s="12">
        <v>102</v>
      </c>
      <c r="O321" s="12" t="s">
        <v>21</v>
      </c>
      <c r="P321" s="12">
        <v>9.99</v>
      </c>
      <c r="Q321" s="12" t="s">
        <v>24</v>
      </c>
    </row>
    <row r="322" spans="1:17" x14ac:dyDescent="0.3">
      <c r="A322" s="12" t="s">
        <v>717</v>
      </c>
      <c r="B322" s="12" t="s">
        <v>718</v>
      </c>
      <c r="C322" s="12" t="s">
        <v>19</v>
      </c>
      <c r="D322" s="12">
        <v>57</v>
      </c>
      <c r="E322" s="12" t="s">
        <v>60</v>
      </c>
      <c r="F322" s="12" t="s">
        <v>17</v>
      </c>
      <c r="G322" s="12" t="s">
        <v>135</v>
      </c>
      <c r="H322" s="12" t="s">
        <v>86</v>
      </c>
      <c r="I322" s="12">
        <v>9</v>
      </c>
      <c r="J322" s="12">
        <v>79582</v>
      </c>
      <c r="K322" s="12">
        <v>73.17</v>
      </c>
      <c r="L322" s="12">
        <v>18</v>
      </c>
      <c r="M322" s="12">
        <v>11</v>
      </c>
      <c r="N322" s="12">
        <v>94</v>
      </c>
      <c r="O322" s="12" t="s">
        <v>20</v>
      </c>
      <c r="P322" s="12">
        <v>8.68</v>
      </c>
      <c r="Q322" s="12" t="s">
        <v>24</v>
      </c>
    </row>
    <row r="323" spans="1:17" x14ac:dyDescent="0.3">
      <c r="A323" s="12" t="s">
        <v>719</v>
      </c>
      <c r="B323" s="12" t="s">
        <v>720</v>
      </c>
      <c r="C323" s="12" t="s">
        <v>19</v>
      </c>
      <c r="D323" s="12">
        <v>52</v>
      </c>
      <c r="E323" s="12" t="s">
        <v>91</v>
      </c>
      <c r="F323" s="12" t="s">
        <v>17</v>
      </c>
      <c r="G323" s="12" t="s">
        <v>135</v>
      </c>
      <c r="H323" s="12" t="s">
        <v>62</v>
      </c>
      <c r="I323" s="12">
        <v>8</v>
      </c>
      <c r="J323" s="12">
        <v>78574</v>
      </c>
      <c r="K323" s="12">
        <v>92.13</v>
      </c>
      <c r="L323" s="12">
        <v>5</v>
      </c>
      <c r="M323" s="12">
        <v>18</v>
      </c>
      <c r="N323" s="12">
        <v>76</v>
      </c>
      <c r="O323" s="12" t="s">
        <v>22</v>
      </c>
      <c r="P323" s="12">
        <v>6.84</v>
      </c>
      <c r="Q323" s="12" t="s">
        <v>23</v>
      </c>
    </row>
    <row r="324" spans="1:17" x14ac:dyDescent="0.3">
      <c r="A324" s="12" t="s">
        <v>721</v>
      </c>
      <c r="B324" s="12" t="s">
        <v>722</v>
      </c>
      <c r="C324" s="12" t="s">
        <v>18</v>
      </c>
      <c r="D324" s="12">
        <v>56</v>
      </c>
      <c r="E324" s="12" t="s">
        <v>65</v>
      </c>
      <c r="F324" s="12" t="s">
        <v>17</v>
      </c>
      <c r="G324" s="12" t="s">
        <v>102</v>
      </c>
      <c r="H324" s="12" t="s">
        <v>77</v>
      </c>
      <c r="I324" s="12">
        <v>17</v>
      </c>
      <c r="J324" s="12">
        <v>120472</v>
      </c>
      <c r="K324" s="12">
        <v>96.31</v>
      </c>
      <c r="L324" s="12">
        <v>4</v>
      </c>
      <c r="M324" s="12">
        <v>50</v>
      </c>
      <c r="N324" s="12">
        <v>81</v>
      </c>
      <c r="O324" s="12" t="s">
        <v>22</v>
      </c>
      <c r="P324" s="12">
        <v>6.96</v>
      </c>
      <c r="Q324" s="12" t="s">
        <v>23</v>
      </c>
    </row>
    <row r="325" spans="1:17" x14ac:dyDescent="0.3">
      <c r="A325" s="12" t="s">
        <v>723</v>
      </c>
      <c r="B325" s="12" t="s">
        <v>724</v>
      </c>
      <c r="C325" s="12" t="s">
        <v>18</v>
      </c>
      <c r="D325" s="12">
        <v>23</v>
      </c>
      <c r="E325" s="12" t="s">
        <v>60</v>
      </c>
      <c r="F325" s="12" t="s">
        <v>16</v>
      </c>
      <c r="G325" s="12" t="s">
        <v>181</v>
      </c>
      <c r="H325" s="12" t="s">
        <v>62</v>
      </c>
      <c r="I325" s="12">
        <v>0</v>
      </c>
      <c r="J325" s="12">
        <v>64239</v>
      </c>
      <c r="K325" s="12">
        <v>80.16</v>
      </c>
      <c r="L325" s="12">
        <v>8</v>
      </c>
      <c r="M325" s="12">
        <v>47</v>
      </c>
      <c r="N325" s="12">
        <v>51</v>
      </c>
      <c r="O325" s="12" t="s">
        <v>22</v>
      </c>
      <c r="P325" s="12">
        <v>5.61</v>
      </c>
      <c r="Q325" s="12" t="s">
        <v>23</v>
      </c>
    </row>
    <row r="326" spans="1:17" x14ac:dyDescent="0.3">
      <c r="A326" s="12" t="s">
        <v>725</v>
      </c>
      <c r="B326" s="12" t="s">
        <v>726</v>
      </c>
      <c r="C326" s="12" t="s">
        <v>19</v>
      </c>
      <c r="D326" s="12">
        <v>29</v>
      </c>
      <c r="E326" s="12" t="s">
        <v>60</v>
      </c>
      <c r="F326" s="12" t="s">
        <v>16</v>
      </c>
      <c r="G326" s="12" t="s">
        <v>76</v>
      </c>
      <c r="H326" s="12" t="s">
        <v>77</v>
      </c>
      <c r="I326" s="12">
        <v>0</v>
      </c>
      <c r="J326" s="12">
        <v>46736</v>
      </c>
      <c r="K326" s="12">
        <v>86.94</v>
      </c>
      <c r="L326" s="12">
        <v>10</v>
      </c>
      <c r="M326" s="12">
        <v>10</v>
      </c>
      <c r="N326" s="12">
        <v>23</v>
      </c>
      <c r="O326" s="12" t="s">
        <v>22</v>
      </c>
      <c r="P326" s="12">
        <v>6.34</v>
      </c>
      <c r="Q326" s="12" t="s">
        <v>23</v>
      </c>
    </row>
    <row r="327" spans="1:17" x14ac:dyDescent="0.3">
      <c r="A327" s="12" t="s">
        <v>727</v>
      </c>
      <c r="B327" s="12" t="s">
        <v>728</v>
      </c>
      <c r="C327" s="12" t="s">
        <v>19</v>
      </c>
      <c r="D327" s="12">
        <v>44</v>
      </c>
      <c r="E327" s="12" t="s">
        <v>65</v>
      </c>
      <c r="F327" s="12" t="s">
        <v>14</v>
      </c>
      <c r="G327" s="12" t="s">
        <v>70</v>
      </c>
      <c r="H327" s="12" t="s">
        <v>86</v>
      </c>
      <c r="I327" s="12">
        <v>19</v>
      </c>
      <c r="J327" s="12">
        <v>160804</v>
      </c>
      <c r="K327" s="12">
        <v>97.5</v>
      </c>
      <c r="L327" s="12">
        <v>3</v>
      </c>
      <c r="M327" s="12">
        <v>35</v>
      </c>
      <c r="N327" s="12">
        <v>56</v>
      </c>
      <c r="O327" s="12" t="s">
        <v>22</v>
      </c>
      <c r="P327" s="12">
        <v>6.77</v>
      </c>
      <c r="Q327" s="12" t="s">
        <v>23</v>
      </c>
    </row>
    <row r="328" spans="1:17" x14ac:dyDescent="0.3">
      <c r="A328" s="12" t="s">
        <v>729</v>
      </c>
      <c r="B328" s="12" t="s">
        <v>730</v>
      </c>
      <c r="C328" s="12" t="s">
        <v>18</v>
      </c>
      <c r="D328" s="12">
        <v>35</v>
      </c>
      <c r="E328" s="12" t="s">
        <v>60</v>
      </c>
      <c r="F328" s="12" t="s">
        <v>16</v>
      </c>
      <c r="G328" s="12" t="s">
        <v>181</v>
      </c>
      <c r="H328" s="12" t="s">
        <v>62</v>
      </c>
      <c r="I328" s="12">
        <v>0</v>
      </c>
      <c r="J328" s="12">
        <v>52283</v>
      </c>
      <c r="K328" s="12">
        <v>93.55</v>
      </c>
      <c r="L328" s="12">
        <v>13</v>
      </c>
      <c r="M328" s="12">
        <v>21</v>
      </c>
      <c r="N328" s="12">
        <v>81</v>
      </c>
      <c r="O328" s="12" t="s">
        <v>21</v>
      </c>
      <c r="P328" s="12">
        <v>8.9</v>
      </c>
      <c r="Q328" s="12" t="s">
        <v>23</v>
      </c>
    </row>
    <row r="329" spans="1:17" x14ac:dyDescent="0.3">
      <c r="A329" s="12" t="s">
        <v>731</v>
      </c>
      <c r="B329" s="12" t="s">
        <v>732</v>
      </c>
      <c r="C329" s="12" t="s">
        <v>19</v>
      </c>
      <c r="D329" s="12">
        <v>58</v>
      </c>
      <c r="E329" s="12" t="s">
        <v>91</v>
      </c>
      <c r="F329" s="12" t="s">
        <v>17</v>
      </c>
      <c r="G329" s="12" t="s">
        <v>135</v>
      </c>
      <c r="H329" s="12" t="s">
        <v>62</v>
      </c>
      <c r="I329" s="12">
        <v>18</v>
      </c>
      <c r="J329" s="12">
        <v>112234</v>
      </c>
      <c r="K329" s="12">
        <v>90.8</v>
      </c>
      <c r="L329" s="12">
        <v>16</v>
      </c>
      <c r="M329" s="12">
        <v>38</v>
      </c>
      <c r="N329" s="12">
        <v>104</v>
      </c>
      <c r="O329" s="12" t="s">
        <v>20</v>
      </c>
      <c r="P329" s="12">
        <v>9.02</v>
      </c>
      <c r="Q329" s="12" t="s">
        <v>24</v>
      </c>
    </row>
    <row r="330" spans="1:17" x14ac:dyDescent="0.3">
      <c r="A330" s="12" t="s">
        <v>733</v>
      </c>
      <c r="B330" s="12" t="s">
        <v>734</v>
      </c>
      <c r="C330" s="12" t="s">
        <v>18</v>
      </c>
      <c r="D330" s="12">
        <v>39</v>
      </c>
      <c r="E330" s="12" t="s">
        <v>65</v>
      </c>
      <c r="F330" s="12" t="s">
        <v>14</v>
      </c>
      <c r="G330" s="12" t="s">
        <v>110</v>
      </c>
      <c r="H330" s="12" t="s">
        <v>62</v>
      </c>
      <c r="I330" s="12">
        <v>17</v>
      </c>
      <c r="J330" s="12">
        <v>76899</v>
      </c>
      <c r="K330" s="12">
        <v>96.5</v>
      </c>
      <c r="L330" s="12">
        <v>6</v>
      </c>
      <c r="M330" s="12">
        <v>52</v>
      </c>
      <c r="N330" s="12">
        <v>75</v>
      </c>
      <c r="O330" s="12" t="s">
        <v>20</v>
      </c>
      <c r="P330" s="12">
        <v>8.5500000000000007</v>
      </c>
      <c r="Q330" s="12" t="s">
        <v>24</v>
      </c>
    </row>
    <row r="331" spans="1:17" x14ac:dyDescent="0.3">
      <c r="A331" s="12" t="s">
        <v>735</v>
      </c>
      <c r="B331" s="12" t="s">
        <v>736</v>
      </c>
      <c r="C331" s="12" t="s">
        <v>18</v>
      </c>
      <c r="D331" s="12">
        <v>34</v>
      </c>
      <c r="E331" s="12" t="s">
        <v>69</v>
      </c>
      <c r="F331" s="12" t="s">
        <v>14</v>
      </c>
      <c r="G331" s="12" t="s">
        <v>248</v>
      </c>
      <c r="H331" s="12" t="s">
        <v>57</v>
      </c>
      <c r="I331" s="12">
        <v>12</v>
      </c>
      <c r="J331" s="12">
        <v>117614</v>
      </c>
      <c r="K331" s="12">
        <v>68</v>
      </c>
      <c r="L331" s="12">
        <v>3</v>
      </c>
      <c r="M331" s="12">
        <v>21</v>
      </c>
      <c r="N331" s="12">
        <v>58</v>
      </c>
      <c r="O331" s="12" t="s">
        <v>22</v>
      </c>
      <c r="P331" s="12">
        <v>5.44</v>
      </c>
      <c r="Q331" s="12" t="s">
        <v>23</v>
      </c>
    </row>
    <row r="332" spans="1:17" x14ac:dyDescent="0.3">
      <c r="A332" s="12" t="s">
        <v>737</v>
      </c>
      <c r="B332" s="12" t="s">
        <v>738</v>
      </c>
      <c r="C332" s="12" t="s">
        <v>19</v>
      </c>
      <c r="D332" s="12">
        <v>26</v>
      </c>
      <c r="E332" s="12" t="s">
        <v>65</v>
      </c>
      <c r="F332" s="12" t="s">
        <v>14</v>
      </c>
      <c r="G332" s="12" t="s">
        <v>70</v>
      </c>
      <c r="H332" s="12" t="s">
        <v>62</v>
      </c>
      <c r="I332" s="12">
        <v>2</v>
      </c>
      <c r="J332" s="12">
        <v>85774</v>
      </c>
      <c r="K332" s="12">
        <v>75.290000000000006</v>
      </c>
      <c r="L332" s="12">
        <v>8</v>
      </c>
      <c r="M332" s="12">
        <v>19</v>
      </c>
      <c r="N332" s="12">
        <v>89</v>
      </c>
      <c r="O332" s="12" t="s">
        <v>21</v>
      </c>
      <c r="P332" s="12">
        <v>7.2</v>
      </c>
      <c r="Q332" s="12" t="s">
        <v>23</v>
      </c>
    </row>
    <row r="333" spans="1:17" x14ac:dyDescent="0.3">
      <c r="A333" s="12" t="s">
        <v>739</v>
      </c>
      <c r="B333" s="12" t="s">
        <v>740</v>
      </c>
      <c r="C333" s="12" t="s">
        <v>19</v>
      </c>
      <c r="D333" s="12">
        <v>53</v>
      </c>
      <c r="E333" s="12" t="s">
        <v>65</v>
      </c>
      <c r="F333" s="12" t="s">
        <v>15</v>
      </c>
      <c r="G333" s="12" t="s">
        <v>61</v>
      </c>
      <c r="H333" s="12" t="s">
        <v>86</v>
      </c>
      <c r="I333" s="12">
        <v>25</v>
      </c>
      <c r="J333" s="12">
        <v>58691</v>
      </c>
      <c r="K333" s="12">
        <v>86.85</v>
      </c>
      <c r="L333" s="12">
        <v>14</v>
      </c>
      <c r="M333" s="12">
        <v>53</v>
      </c>
      <c r="N333" s="12">
        <v>77</v>
      </c>
      <c r="O333" s="12" t="s">
        <v>22</v>
      </c>
      <c r="P333" s="12">
        <v>9.7899999999999991</v>
      </c>
      <c r="Q333" s="12" t="s">
        <v>24</v>
      </c>
    </row>
    <row r="334" spans="1:17" x14ac:dyDescent="0.3">
      <c r="A334" s="12" t="s">
        <v>741</v>
      </c>
      <c r="B334" s="12" t="s">
        <v>742</v>
      </c>
      <c r="C334" s="12" t="s">
        <v>19</v>
      </c>
      <c r="D334" s="12">
        <v>44</v>
      </c>
      <c r="E334" s="12" t="s">
        <v>91</v>
      </c>
      <c r="F334" s="12" t="s">
        <v>13</v>
      </c>
      <c r="G334" s="12" t="s">
        <v>66</v>
      </c>
      <c r="H334" s="12" t="s">
        <v>57</v>
      </c>
      <c r="I334" s="12">
        <v>20</v>
      </c>
      <c r="J334" s="12">
        <v>77941</v>
      </c>
      <c r="K334" s="12">
        <v>99.84</v>
      </c>
      <c r="L334" s="12">
        <v>17</v>
      </c>
      <c r="M334" s="12">
        <v>8</v>
      </c>
      <c r="N334" s="12">
        <v>77</v>
      </c>
      <c r="O334" s="12" t="s">
        <v>21</v>
      </c>
      <c r="P334" s="12">
        <v>9.9499999999999993</v>
      </c>
      <c r="Q334" s="12" t="s">
        <v>24</v>
      </c>
    </row>
    <row r="335" spans="1:17" x14ac:dyDescent="0.3">
      <c r="A335" s="12" t="s">
        <v>743</v>
      </c>
      <c r="B335" s="12" t="s">
        <v>744</v>
      </c>
      <c r="C335" s="12" t="s">
        <v>18</v>
      </c>
      <c r="D335" s="12">
        <v>43</v>
      </c>
      <c r="E335" s="12" t="s">
        <v>80</v>
      </c>
      <c r="F335" s="12" t="s">
        <v>12</v>
      </c>
      <c r="G335" s="12" t="s">
        <v>152</v>
      </c>
      <c r="H335" s="12" t="s">
        <v>57</v>
      </c>
      <c r="I335" s="12">
        <v>22</v>
      </c>
      <c r="J335" s="12">
        <v>138883</v>
      </c>
      <c r="K335" s="12">
        <v>95.52</v>
      </c>
      <c r="L335" s="12">
        <v>17</v>
      </c>
      <c r="M335" s="12">
        <v>49</v>
      </c>
      <c r="N335" s="12">
        <v>30</v>
      </c>
      <c r="O335" s="12" t="s">
        <v>21</v>
      </c>
      <c r="P335" s="12">
        <v>8.82</v>
      </c>
      <c r="Q335" s="12" t="s">
        <v>24</v>
      </c>
    </row>
    <row r="336" spans="1:17" x14ac:dyDescent="0.3">
      <c r="A336" s="12" t="s">
        <v>745</v>
      </c>
      <c r="B336" s="12" t="s">
        <v>746</v>
      </c>
      <c r="C336" s="12" t="s">
        <v>18</v>
      </c>
      <c r="D336" s="12">
        <v>28</v>
      </c>
      <c r="E336" s="12" t="s">
        <v>65</v>
      </c>
      <c r="F336" s="12" t="s">
        <v>15</v>
      </c>
      <c r="G336" s="12" t="s">
        <v>61</v>
      </c>
      <c r="H336" s="12" t="s">
        <v>57</v>
      </c>
      <c r="I336" s="12">
        <v>4</v>
      </c>
      <c r="J336" s="12">
        <v>44353</v>
      </c>
      <c r="K336" s="12">
        <v>83.2</v>
      </c>
      <c r="L336" s="12">
        <v>6</v>
      </c>
      <c r="M336" s="12">
        <v>7</v>
      </c>
      <c r="N336" s="12">
        <v>57</v>
      </c>
      <c r="O336" s="12" t="s">
        <v>22</v>
      </c>
      <c r="P336" s="12">
        <v>6.3</v>
      </c>
      <c r="Q336" s="12" t="s">
        <v>23</v>
      </c>
    </row>
    <row r="337" spans="1:17" x14ac:dyDescent="0.3">
      <c r="A337" s="12" t="s">
        <v>747</v>
      </c>
      <c r="B337" s="12" t="s">
        <v>748</v>
      </c>
      <c r="C337" s="12" t="s">
        <v>18</v>
      </c>
      <c r="D337" s="12">
        <v>46</v>
      </c>
      <c r="E337" s="12" t="s">
        <v>69</v>
      </c>
      <c r="F337" s="12" t="s">
        <v>14</v>
      </c>
      <c r="G337" s="12" t="s">
        <v>110</v>
      </c>
      <c r="H337" s="12" t="s">
        <v>86</v>
      </c>
      <c r="I337" s="12">
        <v>12</v>
      </c>
      <c r="J337" s="12">
        <v>75575</v>
      </c>
      <c r="K337" s="12">
        <v>66.599999999999994</v>
      </c>
      <c r="L337" s="12">
        <v>17</v>
      </c>
      <c r="M337" s="12">
        <v>12</v>
      </c>
      <c r="N337" s="12">
        <v>18</v>
      </c>
      <c r="O337" s="12" t="s">
        <v>22</v>
      </c>
      <c r="P337" s="12">
        <v>7.46</v>
      </c>
      <c r="Q337" s="12" t="s">
        <v>23</v>
      </c>
    </row>
    <row r="338" spans="1:17" x14ac:dyDescent="0.3">
      <c r="A338" s="12" t="s">
        <v>749</v>
      </c>
      <c r="B338" s="12" t="s">
        <v>750</v>
      </c>
      <c r="C338" s="12" t="s">
        <v>19</v>
      </c>
      <c r="D338" s="12">
        <v>54</v>
      </c>
      <c r="E338" s="12" t="s">
        <v>91</v>
      </c>
      <c r="F338" s="12" t="s">
        <v>16</v>
      </c>
      <c r="G338" s="12" t="s">
        <v>76</v>
      </c>
      <c r="H338" s="12" t="s">
        <v>57</v>
      </c>
      <c r="I338" s="12">
        <v>15</v>
      </c>
      <c r="J338" s="12">
        <v>116075</v>
      </c>
      <c r="K338" s="12">
        <v>99.6</v>
      </c>
      <c r="L338" s="12">
        <v>20</v>
      </c>
      <c r="M338" s="12">
        <v>25</v>
      </c>
      <c r="N338" s="12">
        <v>16</v>
      </c>
      <c r="O338" s="12" t="s">
        <v>21</v>
      </c>
      <c r="P338" s="12">
        <v>8.94</v>
      </c>
      <c r="Q338" s="12" t="s">
        <v>24</v>
      </c>
    </row>
    <row r="339" spans="1:17" x14ac:dyDescent="0.3">
      <c r="A339" s="12" t="s">
        <v>751</v>
      </c>
      <c r="B339" s="12" t="s">
        <v>752</v>
      </c>
      <c r="C339" s="12" t="s">
        <v>19</v>
      </c>
      <c r="D339" s="12">
        <v>57</v>
      </c>
      <c r="E339" s="12" t="s">
        <v>91</v>
      </c>
      <c r="F339" s="12" t="s">
        <v>12</v>
      </c>
      <c r="G339" s="12" t="s">
        <v>119</v>
      </c>
      <c r="H339" s="12" t="s">
        <v>57</v>
      </c>
      <c r="I339" s="12">
        <v>12</v>
      </c>
      <c r="J339" s="12">
        <v>119974</v>
      </c>
      <c r="K339" s="12">
        <v>90.37</v>
      </c>
      <c r="L339" s="12">
        <v>6</v>
      </c>
      <c r="M339" s="12">
        <v>33</v>
      </c>
      <c r="N339" s="12">
        <v>32</v>
      </c>
      <c r="O339" s="12" t="s">
        <v>21</v>
      </c>
      <c r="P339" s="12">
        <v>6.69</v>
      </c>
      <c r="Q339" s="12" t="s">
        <v>23</v>
      </c>
    </row>
    <row r="340" spans="1:17" x14ac:dyDescent="0.3">
      <c r="A340" s="12" t="s">
        <v>753</v>
      </c>
      <c r="B340" s="12" t="s">
        <v>754</v>
      </c>
      <c r="C340" s="12" t="s">
        <v>19</v>
      </c>
      <c r="D340" s="12">
        <v>58</v>
      </c>
      <c r="E340" s="12" t="s">
        <v>60</v>
      </c>
      <c r="F340" s="12" t="s">
        <v>14</v>
      </c>
      <c r="G340" s="12" t="s">
        <v>70</v>
      </c>
      <c r="H340" s="12" t="s">
        <v>62</v>
      </c>
      <c r="I340" s="12">
        <v>15</v>
      </c>
      <c r="J340" s="12">
        <v>78827</v>
      </c>
      <c r="K340" s="12">
        <v>88.52</v>
      </c>
      <c r="L340" s="12">
        <v>20</v>
      </c>
      <c r="M340" s="12">
        <v>26</v>
      </c>
      <c r="N340" s="12">
        <v>73</v>
      </c>
      <c r="O340" s="12" t="s">
        <v>22</v>
      </c>
      <c r="P340" s="12">
        <v>9.48</v>
      </c>
      <c r="Q340" s="12" t="s">
        <v>24</v>
      </c>
    </row>
    <row r="341" spans="1:17" x14ac:dyDescent="0.3">
      <c r="A341" s="12" t="s">
        <v>755</v>
      </c>
      <c r="B341" s="12" t="s">
        <v>756</v>
      </c>
      <c r="C341" s="12" t="s">
        <v>19</v>
      </c>
      <c r="D341" s="12">
        <v>26</v>
      </c>
      <c r="E341" s="12" t="s">
        <v>80</v>
      </c>
      <c r="F341" s="12" t="s">
        <v>17</v>
      </c>
      <c r="G341" s="12" t="s">
        <v>135</v>
      </c>
      <c r="H341" s="12" t="s">
        <v>77</v>
      </c>
      <c r="I341" s="12">
        <v>3</v>
      </c>
      <c r="J341" s="12">
        <v>75603</v>
      </c>
      <c r="K341" s="12">
        <v>77.349999999999994</v>
      </c>
      <c r="L341" s="12">
        <v>8</v>
      </c>
      <c r="M341" s="12">
        <v>44</v>
      </c>
      <c r="N341" s="12">
        <v>16</v>
      </c>
      <c r="O341" s="12" t="s">
        <v>22</v>
      </c>
      <c r="P341" s="12">
        <v>6.31</v>
      </c>
      <c r="Q341" s="12" t="s">
        <v>23</v>
      </c>
    </row>
    <row r="342" spans="1:17" x14ac:dyDescent="0.3">
      <c r="A342" s="12" t="s">
        <v>757</v>
      </c>
      <c r="B342" s="12" t="s">
        <v>758</v>
      </c>
      <c r="C342" s="12" t="s">
        <v>19</v>
      </c>
      <c r="D342" s="12">
        <v>25</v>
      </c>
      <c r="E342" s="12" t="s">
        <v>69</v>
      </c>
      <c r="F342" s="12" t="s">
        <v>15</v>
      </c>
      <c r="G342" s="12" t="s">
        <v>61</v>
      </c>
      <c r="H342" s="12" t="s">
        <v>86</v>
      </c>
      <c r="I342" s="12">
        <v>0</v>
      </c>
      <c r="J342" s="12">
        <v>149692</v>
      </c>
      <c r="K342" s="12">
        <v>94.42</v>
      </c>
      <c r="L342" s="12">
        <v>12</v>
      </c>
      <c r="M342" s="12">
        <v>43</v>
      </c>
      <c r="N342" s="12">
        <v>10</v>
      </c>
      <c r="O342" s="12" t="s">
        <v>22</v>
      </c>
      <c r="P342" s="12">
        <v>5.81</v>
      </c>
      <c r="Q342" s="12" t="s">
        <v>23</v>
      </c>
    </row>
    <row r="343" spans="1:17" x14ac:dyDescent="0.3">
      <c r="A343" s="12" t="s">
        <v>759</v>
      </c>
      <c r="B343" s="12" t="s">
        <v>760</v>
      </c>
      <c r="C343" s="12" t="s">
        <v>19</v>
      </c>
      <c r="D343" s="12">
        <v>41</v>
      </c>
      <c r="E343" s="12" t="s">
        <v>69</v>
      </c>
      <c r="F343" s="12" t="s">
        <v>15</v>
      </c>
      <c r="G343" s="12" t="s">
        <v>73</v>
      </c>
      <c r="H343" s="12" t="s">
        <v>77</v>
      </c>
      <c r="I343" s="12">
        <v>6</v>
      </c>
      <c r="J343" s="12">
        <v>44024</v>
      </c>
      <c r="K343" s="12">
        <v>77.87</v>
      </c>
      <c r="L343" s="12">
        <v>13</v>
      </c>
      <c r="M343" s="12">
        <v>32</v>
      </c>
      <c r="N343" s="12">
        <v>110</v>
      </c>
      <c r="O343" s="12" t="s">
        <v>21</v>
      </c>
      <c r="P343" s="12">
        <v>8.98</v>
      </c>
      <c r="Q343" s="12" t="s">
        <v>24</v>
      </c>
    </row>
    <row r="344" spans="1:17" x14ac:dyDescent="0.3">
      <c r="A344" s="12" t="s">
        <v>761</v>
      </c>
      <c r="B344" s="12" t="s">
        <v>762</v>
      </c>
      <c r="C344" s="12" t="s">
        <v>18</v>
      </c>
      <c r="D344" s="12">
        <v>58</v>
      </c>
      <c r="E344" s="12" t="s">
        <v>60</v>
      </c>
      <c r="F344" s="12" t="s">
        <v>12</v>
      </c>
      <c r="G344" s="12" t="s">
        <v>119</v>
      </c>
      <c r="H344" s="12" t="s">
        <v>62</v>
      </c>
      <c r="I344" s="12">
        <v>25</v>
      </c>
      <c r="J344" s="12">
        <v>107648</v>
      </c>
      <c r="K344" s="12">
        <v>78.7</v>
      </c>
      <c r="L344" s="12">
        <v>4</v>
      </c>
      <c r="M344" s="12">
        <v>17</v>
      </c>
      <c r="N344" s="12">
        <v>110</v>
      </c>
      <c r="O344" s="12" t="s">
        <v>22</v>
      </c>
      <c r="P344" s="12">
        <v>7.91</v>
      </c>
      <c r="Q344" s="12" t="s">
        <v>23</v>
      </c>
    </row>
    <row r="345" spans="1:17" x14ac:dyDescent="0.3">
      <c r="A345" s="12" t="s">
        <v>763</v>
      </c>
      <c r="B345" s="12" t="s">
        <v>764</v>
      </c>
      <c r="C345" s="12" t="s">
        <v>18</v>
      </c>
      <c r="D345" s="12">
        <v>31</v>
      </c>
      <c r="E345" s="12" t="s">
        <v>55</v>
      </c>
      <c r="F345" s="12" t="s">
        <v>13</v>
      </c>
      <c r="G345" s="12" t="s">
        <v>56</v>
      </c>
      <c r="H345" s="12" t="s">
        <v>77</v>
      </c>
      <c r="I345" s="12">
        <v>9</v>
      </c>
      <c r="J345" s="12">
        <v>88692</v>
      </c>
      <c r="K345" s="12">
        <v>91.73</v>
      </c>
      <c r="L345" s="12">
        <v>20</v>
      </c>
      <c r="M345" s="12">
        <v>27</v>
      </c>
      <c r="N345" s="12">
        <v>23</v>
      </c>
      <c r="O345" s="12" t="s">
        <v>22</v>
      </c>
      <c r="P345" s="12">
        <v>7.55</v>
      </c>
      <c r="Q345" s="12" t="s">
        <v>23</v>
      </c>
    </row>
    <row r="346" spans="1:17" x14ac:dyDescent="0.3">
      <c r="A346" s="12" t="s">
        <v>765</v>
      </c>
      <c r="B346" s="12" t="s">
        <v>766</v>
      </c>
      <c r="C346" s="12" t="s">
        <v>19</v>
      </c>
      <c r="D346" s="12">
        <v>34</v>
      </c>
      <c r="E346" s="12" t="s">
        <v>91</v>
      </c>
      <c r="F346" s="12" t="s">
        <v>13</v>
      </c>
      <c r="G346" s="12" t="s">
        <v>66</v>
      </c>
      <c r="H346" s="12" t="s">
        <v>77</v>
      </c>
      <c r="I346" s="12">
        <v>4</v>
      </c>
      <c r="J346" s="12">
        <v>80191</v>
      </c>
      <c r="K346" s="12">
        <v>81.91</v>
      </c>
      <c r="L346" s="12">
        <v>4</v>
      </c>
      <c r="M346" s="12">
        <v>47</v>
      </c>
      <c r="N346" s="12">
        <v>116</v>
      </c>
      <c r="O346" s="12" t="s">
        <v>22</v>
      </c>
      <c r="P346" s="12">
        <v>7.82</v>
      </c>
      <c r="Q346" s="12" t="s">
        <v>23</v>
      </c>
    </row>
    <row r="347" spans="1:17" x14ac:dyDescent="0.3">
      <c r="A347" s="12" t="s">
        <v>767</v>
      </c>
      <c r="B347" s="12" t="s">
        <v>768</v>
      </c>
      <c r="C347" s="12" t="s">
        <v>19</v>
      </c>
      <c r="D347" s="12">
        <v>38</v>
      </c>
      <c r="E347" s="12" t="s">
        <v>60</v>
      </c>
      <c r="F347" s="12" t="s">
        <v>12</v>
      </c>
      <c r="G347" s="12" t="s">
        <v>92</v>
      </c>
      <c r="H347" s="12" t="s">
        <v>86</v>
      </c>
      <c r="I347" s="12">
        <v>5</v>
      </c>
      <c r="J347" s="12">
        <v>75754</v>
      </c>
      <c r="K347" s="12">
        <v>79.180000000000007</v>
      </c>
      <c r="L347" s="12">
        <v>16</v>
      </c>
      <c r="M347" s="12">
        <v>0</v>
      </c>
      <c r="N347" s="12">
        <v>15</v>
      </c>
      <c r="O347" s="12" t="s">
        <v>21</v>
      </c>
      <c r="P347" s="12">
        <v>7.94</v>
      </c>
      <c r="Q347" s="12" t="s">
        <v>23</v>
      </c>
    </row>
    <row r="348" spans="1:17" x14ac:dyDescent="0.3">
      <c r="A348" s="12" t="s">
        <v>769</v>
      </c>
      <c r="B348" s="12" t="s">
        <v>770</v>
      </c>
      <c r="C348" s="12" t="s">
        <v>18</v>
      </c>
      <c r="D348" s="12">
        <v>28</v>
      </c>
      <c r="E348" s="12" t="s">
        <v>69</v>
      </c>
      <c r="F348" s="12" t="s">
        <v>16</v>
      </c>
      <c r="G348" s="12" t="s">
        <v>181</v>
      </c>
      <c r="H348" s="12" t="s">
        <v>57</v>
      </c>
      <c r="I348" s="12">
        <v>3</v>
      </c>
      <c r="J348" s="12">
        <v>75206</v>
      </c>
      <c r="K348" s="12">
        <v>88.15</v>
      </c>
      <c r="L348" s="12">
        <v>11</v>
      </c>
      <c r="M348" s="12">
        <v>14</v>
      </c>
      <c r="N348" s="12">
        <v>58</v>
      </c>
      <c r="O348" s="12" t="s">
        <v>21</v>
      </c>
      <c r="P348" s="12">
        <v>7.73</v>
      </c>
      <c r="Q348" s="12" t="s">
        <v>23</v>
      </c>
    </row>
    <row r="349" spans="1:17" x14ac:dyDescent="0.3">
      <c r="A349" s="12" t="s">
        <v>771</v>
      </c>
      <c r="B349" s="12" t="s">
        <v>772</v>
      </c>
      <c r="C349" s="12" t="s">
        <v>18</v>
      </c>
      <c r="D349" s="12">
        <v>35</v>
      </c>
      <c r="E349" s="12" t="s">
        <v>91</v>
      </c>
      <c r="F349" s="12" t="s">
        <v>17</v>
      </c>
      <c r="G349" s="12" t="s">
        <v>99</v>
      </c>
      <c r="H349" s="12" t="s">
        <v>77</v>
      </c>
      <c r="I349" s="12">
        <v>12</v>
      </c>
      <c r="J349" s="12">
        <v>138033</v>
      </c>
      <c r="K349" s="12">
        <v>97.61</v>
      </c>
      <c r="L349" s="12">
        <v>20</v>
      </c>
      <c r="M349" s="12">
        <v>25</v>
      </c>
      <c r="N349" s="12">
        <v>28</v>
      </c>
      <c r="O349" s="12" t="s">
        <v>21</v>
      </c>
      <c r="P349" s="12">
        <v>8.93</v>
      </c>
      <c r="Q349" s="12" t="s">
        <v>24</v>
      </c>
    </row>
    <row r="350" spans="1:17" x14ac:dyDescent="0.3">
      <c r="A350" s="12" t="s">
        <v>773</v>
      </c>
      <c r="B350" s="12" t="s">
        <v>774</v>
      </c>
      <c r="C350" s="12" t="s">
        <v>18</v>
      </c>
      <c r="D350" s="12">
        <v>45</v>
      </c>
      <c r="E350" s="12" t="s">
        <v>69</v>
      </c>
      <c r="F350" s="12" t="s">
        <v>13</v>
      </c>
      <c r="G350" s="12" t="s">
        <v>56</v>
      </c>
      <c r="H350" s="12" t="s">
        <v>86</v>
      </c>
      <c r="I350" s="12">
        <v>13</v>
      </c>
      <c r="J350" s="12">
        <v>91814</v>
      </c>
      <c r="K350" s="12">
        <v>87.29</v>
      </c>
      <c r="L350" s="12">
        <v>6</v>
      </c>
      <c r="M350" s="12">
        <v>57</v>
      </c>
      <c r="N350" s="12">
        <v>59</v>
      </c>
      <c r="O350" s="12" t="s">
        <v>22</v>
      </c>
      <c r="P350" s="12">
        <v>6.92</v>
      </c>
      <c r="Q350" s="12" t="s">
        <v>23</v>
      </c>
    </row>
    <row r="351" spans="1:17" x14ac:dyDescent="0.3">
      <c r="A351" s="12" t="s">
        <v>775</v>
      </c>
      <c r="B351" s="12" t="s">
        <v>776</v>
      </c>
      <c r="C351" s="12" t="s">
        <v>19</v>
      </c>
      <c r="D351" s="12">
        <v>39</v>
      </c>
      <c r="E351" s="12" t="s">
        <v>80</v>
      </c>
      <c r="F351" s="12" t="s">
        <v>15</v>
      </c>
      <c r="G351" s="12" t="s">
        <v>130</v>
      </c>
      <c r="H351" s="12" t="s">
        <v>86</v>
      </c>
      <c r="I351" s="12">
        <v>8</v>
      </c>
      <c r="J351" s="12">
        <v>146311</v>
      </c>
      <c r="K351" s="12">
        <v>84.8</v>
      </c>
      <c r="L351" s="12">
        <v>17</v>
      </c>
      <c r="M351" s="12">
        <v>34</v>
      </c>
      <c r="N351" s="12">
        <v>28</v>
      </c>
      <c r="O351" s="12" t="s">
        <v>20</v>
      </c>
      <c r="P351" s="12">
        <v>7.18</v>
      </c>
      <c r="Q351" s="12" t="s">
        <v>23</v>
      </c>
    </row>
    <row r="352" spans="1:17" x14ac:dyDescent="0.3">
      <c r="A352" s="12" t="s">
        <v>777</v>
      </c>
      <c r="B352" s="12" t="s">
        <v>778</v>
      </c>
      <c r="C352" s="12" t="s">
        <v>18</v>
      </c>
      <c r="D352" s="12">
        <v>38</v>
      </c>
      <c r="E352" s="12" t="s">
        <v>69</v>
      </c>
      <c r="F352" s="12" t="s">
        <v>17</v>
      </c>
      <c r="G352" s="12" t="s">
        <v>99</v>
      </c>
      <c r="H352" s="12" t="s">
        <v>62</v>
      </c>
      <c r="I352" s="12">
        <v>11</v>
      </c>
      <c r="J352" s="12">
        <v>85483</v>
      </c>
      <c r="K352" s="12">
        <v>87.07</v>
      </c>
      <c r="L352" s="12">
        <v>16</v>
      </c>
      <c r="M352" s="12">
        <v>42</v>
      </c>
      <c r="N352" s="12">
        <v>101</v>
      </c>
      <c r="O352" s="12" t="s">
        <v>21</v>
      </c>
      <c r="P352" s="12">
        <v>8.68</v>
      </c>
      <c r="Q352" s="12" t="s">
        <v>24</v>
      </c>
    </row>
    <row r="353" spans="1:17" x14ac:dyDescent="0.3">
      <c r="A353" s="12" t="s">
        <v>779</v>
      </c>
      <c r="B353" s="12" t="s">
        <v>780</v>
      </c>
      <c r="C353" s="12" t="s">
        <v>18</v>
      </c>
      <c r="D353" s="12">
        <v>42</v>
      </c>
      <c r="E353" s="12" t="s">
        <v>69</v>
      </c>
      <c r="F353" s="12" t="s">
        <v>12</v>
      </c>
      <c r="G353" s="12" t="s">
        <v>119</v>
      </c>
      <c r="H353" s="12" t="s">
        <v>86</v>
      </c>
      <c r="I353" s="12">
        <v>17</v>
      </c>
      <c r="J353" s="12">
        <v>100883</v>
      </c>
      <c r="K353" s="12">
        <v>74.489999999999995</v>
      </c>
      <c r="L353" s="12">
        <v>19</v>
      </c>
      <c r="M353" s="12">
        <v>34</v>
      </c>
      <c r="N353" s="12">
        <v>75</v>
      </c>
      <c r="O353" s="12" t="s">
        <v>21</v>
      </c>
      <c r="P353" s="12">
        <v>8.43</v>
      </c>
      <c r="Q353" s="12" t="s">
        <v>23</v>
      </c>
    </row>
    <row r="354" spans="1:17" x14ac:dyDescent="0.3">
      <c r="A354" s="12" t="s">
        <v>781</v>
      </c>
      <c r="B354" s="12" t="s">
        <v>782</v>
      </c>
      <c r="C354" s="12" t="s">
        <v>19</v>
      </c>
      <c r="D354" s="12">
        <v>55</v>
      </c>
      <c r="E354" s="12" t="s">
        <v>60</v>
      </c>
      <c r="F354" s="12" t="s">
        <v>16</v>
      </c>
      <c r="G354" s="12" t="s">
        <v>181</v>
      </c>
      <c r="H354" s="12" t="s">
        <v>62</v>
      </c>
      <c r="I354" s="12">
        <v>27</v>
      </c>
      <c r="J354" s="12">
        <v>76157</v>
      </c>
      <c r="K354" s="12">
        <v>88.81</v>
      </c>
      <c r="L354" s="12">
        <v>13</v>
      </c>
      <c r="M354" s="12">
        <v>1</v>
      </c>
      <c r="N354" s="12">
        <v>109</v>
      </c>
      <c r="O354" s="12" t="s">
        <v>20</v>
      </c>
      <c r="P354" s="12">
        <v>9.64</v>
      </c>
      <c r="Q354" s="12" t="s">
        <v>24</v>
      </c>
    </row>
    <row r="355" spans="1:17" x14ac:dyDescent="0.3">
      <c r="A355" s="12" t="s">
        <v>783</v>
      </c>
      <c r="B355" s="12" t="s">
        <v>784</v>
      </c>
      <c r="C355" s="12" t="s">
        <v>19</v>
      </c>
      <c r="D355" s="12">
        <v>28</v>
      </c>
      <c r="E355" s="12" t="s">
        <v>91</v>
      </c>
      <c r="F355" s="12" t="s">
        <v>13</v>
      </c>
      <c r="G355" s="12" t="s">
        <v>66</v>
      </c>
      <c r="H355" s="12" t="s">
        <v>77</v>
      </c>
      <c r="I355" s="12">
        <v>3</v>
      </c>
      <c r="J355" s="12">
        <v>42902</v>
      </c>
      <c r="K355" s="12">
        <v>92.19</v>
      </c>
      <c r="L355" s="12">
        <v>19</v>
      </c>
      <c r="M355" s="12">
        <v>48</v>
      </c>
      <c r="N355" s="12">
        <v>85</v>
      </c>
      <c r="O355" s="12" t="s">
        <v>21</v>
      </c>
      <c r="P355" s="12">
        <v>8.18</v>
      </c>
      <c r="Q355" s="12" t="s">
        <v>23</v>
      </c>
    </row>
    <row r="356" spans="1:17" x14ac:dyDescent="0.3">
      <c r="A356" s="12" t="s">
        <v>785</v>
      </c>
      <c r="B356" s="12" t="s">
        <v>786</v>
      </c>
      <c r="C356" s="12" t="s">
        <v>18</v>
      </c>
      <c r="D356" s="12">
        <v>48</v>
      </c>
      <c r="E356" s="12" t="s">
        <v>60</v>
      </c>
      <c r="F356" s="12" t="s">
        <v>15</v>
      </c>
      <c r="G356" s="12" t="s">
        <v>61</v>
      </c>
      <c r="H356" s="12" t="s">
        <v>62</v>
      </c>
      <c r="I356" s="12">
        <v>12</v>
      </c>
      <c r="J356" s="12">
        <v>73912</v>
      </c>
      <c r="K356" s="12">
        <v>78.16</v>
      </c>
      <c r="L356" s="12">
        <v>19</v>
      </c>
      <c r="M356" s="12">
        <v>55</v>
      </c>
      <c r="N356" s="12">
        <v>96</v>
      </c>
      <c r="O356" s="12" t="s">
        <v>22</v>
      </c>
      <c r="P356" s="12">
        <v>8.9600000000000009</v>
      </c>
      <c r="Q356" s="12" t="s">
        <v>24</v>
      </c>
    </row>
    <row r="357" spans="1:17" x14ac:dyDescent="0.3">
      <c r="A357" s="12" t="s">
        <v>787</v>
      </c>
      <c r="B357" s="12" t="s">
        <v>788</v>
      </c>
      <c r="C357" s="12" t="s">
        <v>18</v>
      </c>
      <c r="D357" s="12">
        <v>57</v>
      </c>
      <c r="E357" s="12" t="s">
        <v>65</v>
      </c>
      <c r="F357" s="12" t="s">
        <v>16</v>
      </c>
      <c r="G357" s="12" t="s">
        <v>76</v>
      </c>
      <c r="H357" s="12" t="s">
        <v>86</v>
      </c>
      <c r="I357" s="12">
        <v>15</v>
      </c>
      <c r="J357" s="12">
        <v>95768</v>
      </c>
      <c r="K357" s="12">
        <v>73.459999999999994</v>
      </c>
      <c r="L357" s="12">
        <v>2</v>
      </c>
      <c r="M357" s="12">
        <v>27</v>
      </c>
      <c r="N357" s="12">
        <v>89</v>
      </c>
      <c r="O357" s="12" t="s">
        <v>22</v>
      </c>
      <c r="P357" s="12">
        <v>5.86</v>
      </c>
      <c r="Q357" s="12" t="s">
        <v>23</v>
      </c>
    </row>
    <row r="358" spans="1:17" x14ac:dyDescent="0.3">
      <c r="A358" s="12" t="s">
        <v>789</v>
      </c>
      <c r="B358" s="12" t="s">
        <v>790</v>
      </c>
      <c r="C358" s="12" t="s">
        <v>18</v>
      </c>
      <c r="D358" s="12">
        <v>57</v>
      </c>
      <c r="E358" s="12" t="s">
        <v>55</v>
      </c>
      <c r="F358" s="12" t="s">
        <v>13</v>
      </c>
      <c r="G358" s="12" t="s">
        <v>107</v>
      </c>
      <c r="H358" s="12" t="s">
        <v>86</v>
      </c>
      <c r="I358" s="12">
        <v>11</v>
      </c>
      <c r="J358" s="12">
        <v>56354</v>
      </c>
      <c r="K358" s="12">
        <v>91.13</v>
      </c>
      <c r="L358" s="12">
        <v>19</v>
      </c>
      <c r="M358" s="12">
        <v>20</v>
      </c>
      <c r="N358" s="12">
        <v>119</v>
      </c>
      <c r="O358" s="12" t="s">
        <v>20</v>
      </c>
      <c r="P358" s="12">
        <v>10</v>
      </c>
      <c r="Q358" s="12" t="s">
        <v>24</v>
      </c>
    </row>
    <row r="359" spans="1:17" x14ac:dyDescent="0.3">
      <c r="A359" s="12" t="s">
        <v>791</v>
      </c>
      <c r="B359" s="12" t="s">
        <v>792</v>
      </c>
      <c r="C359" s="12" t="s">
        <v>19</v>
      </c>
      <c r="D359" s="12">
        <v>26</v>
      </c>
      <c r="E359" s="12" t="s">
        <v>91</v>
      </c>
      <c r="F359" s="12" t="s">
        <v>13</v>
      </c>
      <c r="G359" s="12" t="s">
        <v>56</v>
      </c>
      <c r="H359" s="12" t="s">
        <v>57</v>
      </c>
      <c r="I359" s="12">
        <v>2</v>
      </c>
      <c r="J359" s="12">
        <v>54147</v>
      </c>
      <c r="K359" s="12">
        <v>85.31</v>
      </c>
      <c r="L359" s="12">
        <v>7</v>
      </c>
      <c r="M359" s="12">
        <v>34</v>
      </c>
      <c r="N359" s="12">
        <v>5</v>
      </c>
      <c r="O359" s="12" t="s">
        <v>22</v>
      </c>
      <c r="P359" s="12">
        <v>4.78</v>
      </c>
      <c r="Q359" s="12" t="s">
        <v>23</v>
      </c>
    </row>
    <row r="360" spans="1:17" x14ac:dyDescent="0.3">
      <c r="A360" s="12" t="s">
        <v>793</v>
      </c>
      <c r="B360" s="12" t="s">
        <v>794</v>
      </c>
      <c r="C360" s="12" t="s">
        <v>19</v>
      </c>
      <c r="D360" s="12">
        <v>22</v>
      </c>
      <c r="E360" s="12" t="s">
        <v>91</v>
      </c>
      <c r="F360" s="12" t="s">
        <v>17</v>
      </c>
      <c r="G360" s="12" t="s">
        <v>102</v>
      </c>
      <c r="H360" s="12" t="s">
        <v>86</v>
      </c>
      <c r="I360" s="12">
        <v>1</v>
      </c>
      <c r="J360" s="12">
        <v>81536</v>
      </c>
      <c r="K360" s="12">
        <v>84.75</v>
      </c>
      <c r="L360" s="12">
        <v>12</v>
      </c>
      <c r="M360" s="12">
        <v>58</v>
      </c>
      <c r="N360" s="12">
        <v>6</v>
      </c>
      <c r="O360" s="12" t="s">
        <v>22</v>
      </c>
      <c r="P360" s="12">
        <v>6.67</v>
      </c>
      <c r="Q360" s="12" t="s">
        <v>23</v>
      </c>
    </row>
    <row r="361" spans="1:17" x14ac:dyDescent="0.3">
      <c r="A361" s="12" t="s">
        <v>795</v>
      </c>
      <c r="B361" s="12" t="s">
        <v>796</v>
      </c>
      <c r="C361" s="12" t="s">
        <v>18</v>
      </c>
      <c r="D361" s="12">
        <v>43</v>
      </c>
      <c r="E361" s="12" t="s">
        <v>69</v>
      </c>
      <c r="F361" s="12" t="s">
        <v>14</v>
      </c>
      <c r="G361" s="12" t="s">
        <v>110</v>
      </c>
      <c r="H361" s="12" t="s">
        <v>57</v>
      </c>
      <c r="I361" s="12">
        <v>12</v>
      </c>
      <c r="J361" s="12">
        <v>71780</v>
      </c>
      <c r="K361" s="12">
        <v>71.34</v>
      </c>
      <c r="L361" s="12">
        <v>6</v>
      </c>
      <c r="M361" s="12">
        <v>55</v>
      </c>
      <c r="N361" s="12">
        <v>46</v>
      </c>
      <c r="O361" s="12" t="s">
        <v>20</v>
      </c>
      <c r="P361" s="12">
        <v>4.8600000000000003</v>
      </c>
      <c r="Q361" s="12" t="s">
        <v>23</v>
      </c>
    </row>
    <row r="362" spans="1:17" x14ac:dyDescent="0.3">
      <c r="A362" s="12" t="s">
        <v>797</v>
      </c>
      <c r="B362" s="12" t="s">
        <v>798</v>
      </c>
      <c r="C362" s="12" t="s">
        <v>18</v>
      </c>
      <c r="D362" s="12">
        <v>55</v>
      </c>
      <c r="E362" s="12" t="s">
        <v>65</v>
      </c>
      <c r="F362" s="12" t="s">
        <v>12</v>
      </c>
      <c r="G362" s="12" t="s">
        <v>119</v>
      </c>
      <c r="H362" s="12" t="s">
        <v>62</v>
      </c>
      <c r="I362" s="12">
        <v>16</v>
      </c>
      <c r="J362" s="12">
        <v>147706</v>
      </c>
      <c r="K362" s="12">
        <v>72.3</v>
      </c>
      <c r="L362" s="12">
        <v>1</v>
      </c>
      <c r="M362" s="12">
        <v>5</v>
      </c>
      <c r="N362" s="12">
        <v>96</v>
      </c>
      <c r="O362" s="12" t="s">
        <v>22</v>
      </c>
      <c r="P362" s="12">
        <v>7.39</v>
      </c>
      <c r="Q362" s="12" t="s">
        <v>23</v>
      </c>
    </row>
    <row r="363" spans="1:17" x14ac:dyDescent="0.3">
      <c r="A363" s="12" t="s">
        <v>799</v>
      </c>
      <c r="B363" s="12" t="s">
        <v>441</v>
      </c>
      <c r="C363" s="12" t="s">
        <v>18</v>
      </c>
      <c r="D363" s="12">
        <v>46</v>
      </c>
      <c r="E363" s="12" t="s">
        <v>91</v>
      </c>
      <c r="F363" s="12" t="s">
        <v>15</v>
      </c>
      <c r="G363" s="12" t="s">
        <v>130</v>
      </c>
      <c r="H363" s="12" t="s">
        <v>62</v>
      </c>
      <c r="I363" s="12">
        <v>5</v>
      </c>
      <c r="J363" s="12">
        <v>112511</v>
      </c>
      <c r="K363" s="12">
        <v>85.15</v>
      </c>
      <c r="L363" s="12">
        <v>13</v>
      </c>
      <c r="M363" s="12">
        <v>54</v>
      </c>
      <c r="N363" s="12">
        <v>65</v>
      </c>
      <c r="O363" s="12" t="s">
        <v>20</v>
      </c>
      <c r="P363" s="12">
        <v>6.5</v>
      </c>
      <c r="Q363" s="12" t="s">
        <v>23</v>
      </c>
    </row>
    <row r="364" spans="1:17" x14ac:dyDescent="0.3">
      <c r="A364" s="12" t="s">
        <v>800</v>
      </c>
      <c r="B364" s="12" t="s">
        <v>801</v>
      </c>
      <c r="C364" s="12" t="s">
        <v>18</v>
      </c>
      <c r="D364" s="12">
        <v>27</v>
      </c>
      <c r="E364" s="12" t="s">
        <v>60</v>
      </c>
      <c r="F364" s="12" t="s">
        <v>15</v>
      </c>
      <c r="G364" s="12" t="s">
        <v>130</v>
      </c>
      <c r="H364" s="12" t="s">
        <v>86</v>
      </c>
      <c r="I364" s="12">
        <v>4</v>
      </c>
      <c r="J364" s="12">
        <v>134291</v>
      </c>
      <c r="K364" s="12">
        <v>84.72</v>
      </c>
      <c r="L364" s="12">
        <v>7</v>
      </c>
      <c r="M364" s="12">
        <v>12</v>
      </c>
      <c r="N364" s="12">
        <v>33</v>
      </c>
      <c r="O364" s="12" t="s">
        <v>21</v>
      </c>
      <c r="P364" s="12">
        <v>5.75</v>
      </c>
      <c r="Q364" s="12" t="s">
        <v>23</v>
      </c>
    </row>
    <row r="365" spans="1:17" x14ac:dyDescent="0.3">
      <c r="A365" s="12" t="s">
        <v>802</v>
      </c>
      <c r="B365" s="12" t="s">
        <v>803</v>
      </c>
      <c r="C365" s="12" t="s">
        <v>18</v>
      </c>
      <c r="D365" s="12">
        <v>43</v>
      </c>
      <c r="E365" s="12" t="s">
        <v>55</v>
      </c>
      <c r="F365" s="12" t="s">
        <v>12</v>
      </c>
      <c r="G365" s="12" t="s">
        <v>152</v>
      </c>
      <c r="H365" s="12" t="s">
        <v>62</v>
      </c>
      <c r="I365" s="12">
        <v>9</v>
      </c>
      <c r="J365" s="12">
        <v>153078</v>
      </c>
      <c r="K365" s="12">
        <v>95.62</v>
      </c>
      <c r="L365" s="12">
        <v>16</v>
      </c>
      <c r="M365" s="12">
        <v>60</v>
      </c>
      <c r="N365" s="12">
        <v>18</v>
      </c>
      <c r="O365" s="12" t="s">
        <v>21</v>
      </c>
      <c r="P365" s="12">
        <v>8.07</v>
      </c>
      <c r="Q365" s="12" t="s">
        <v>23</v>
      </c>
    </row>
    <row r="366" spans="1:17" x14ac:dyDescent="0.3">
      <c r="A366" s="12" t="s">
        <v>804</v>
      </c>
      <c r="B366" s="12" t="s">
        <v>805</v>
      </c>
      <c r="C366" s="12" t="s">
        <v>19</v>
      </c>
      <c r="D366" s="12">
        <v>36</v>
      </c>
      <c r="E366" s="12" t="s">
        <v>65</v>
      </c>
      <c r="F366" s="12" t="s">
        <v>12</v>
      </c>
      <c r="G366" s="12" t="s">
        <v>152</v>
      </c>
      <c r="H366" s="12" t="s">
        <v>57</v>
      </c>
      <c r="I366" s="12">
        <v>0</v>
      </c>
      <c r="J366" s="12">
        <v>120504</v>
      </c>
      <c r="K366" s="12">
        <v>79.290000000000006</v>
      </c>
      <c r="L366" s="12">
        <v>2</v>
      </c>
      <c r="M366" s="12">
        <v>19</v>
      </c>
      <c r="N366" s="12">
        <v>33</v>
      </c>
      <c r="O366" s="12" t="s">
        <v>20</v>
      </c>
      <c r="P366" s="12">
        <v>5.27</v>
      </c>
      <c r="Q366" s="12" t="s">
        <v>23</v>
      </c>
    </row>
    <row r="367" spans="1:17" x14ac:dyDescent="0.3">
      <c r="A367" s="12" t="s">
        <v>806</v>
      </c>
      <c r="B367" s="12" t="s">
        <v>807</v>
      </c>
      <c r="C367" s="12" t="s">
        <v>18</v>
      </c>
      <c r="D367" s="12">
        <v>56</v>
      </c>
      <c r="E367" s="12" t="s">
        <v>69</v>
      </c>
      <c r="F367" s="12" t="s">
        <v>17</v>
      </c>
      <c r="G367" s="12" t="s">
        <v>102</v>
      </c>
      <c r="H367" s="12" t="s">
        <v>77</v>
      </c>
      <c r="I367" s="12">
        <v>0</v>
      </c>
      <c r="J367" s="12">
        <v>123483</v>
      </c>
      <c r="K367" s="12">
        <v>85.13</v>
      </c>
      <c r="L367" s="12">
        <v>15</v>
      </c>
      <c r="M367" s="12">
        <v>12</v>
      </c>
      <c r="N367" s="12">
        <v>42</v>
      </c>
      <c r="O367" s="12" t="s">
        <v>22</v>
      </c>
      <c r="P367" s="12">
        <v>6.79</v>
      </c>
      <c r="Q367" s="12" t="s">
        <v>23</v>
      </c>
    </row>
    <row r="368" spans="1:17" x14ac:dyDescent="0.3">
      <c r="A368" s="12" t="s">
        <v>808</v>
      </c>
      <c r="B368" s="12" t="s">
        <v>809</v>
      </c>
      <c r="C368" s="12" t="s">
        <v>19</v>
      </c>
      <c r="D368" s="12">
        <v>29</v>
      </c>
      <c r="E368" s="12" t="s">
        <v>69</v>
      </c>
      <c r="F368" s="12" t="s">
        <v>12</v>
      </c>
      <c r="G368" s="12" t="s">
        <v>152</v>
      </c>
      <c r="H368" s="12" t="s">
        <v>57</v>
      </c>
      <c r="I368" s="12">
        <v>7</v>
      </c>
      <c r="J368" s="12">
        <v>92455</v>
      </c>
      <c r="K368" s="12">
        <v>83.18</v>
      </c>
      <c r="L368" s="12">
        <v>5</v>
      </c>
      <c r="M368" s="12">
        <v>20</v>
      </c>
      <c r="N368" s="12">
        <v>100</v>
      </c>
      <c r="O368" s="12" t="s">
        <v>21</v>
      </c>
      <c r="P368" s="12">
        <v>6.9</v>
      </c>
      <c r="Q368" s="12" t="s">
        <v>23</v>
      </c>
    </row>
    <row r="369" spans="1:17" x14ac:dyDescent="0.3">
      <c r="A369" s="12" t="s">
        <v>810</v>
      </c>
      <c r="B369" s="12" t="s">
        <v>811</v>
      </c>
      <c r="C369" s="12" t="s">
        <v>18</v>
      </c>
      <c r="D369" s="12">
        <v>39</v>
      </c>
      <c r="E369" s="12" t="s">
        <v>69</v>
      </c>
      <c r="F369" s="12" t="s">
        <v>15</v>
      </c>
      <c r="G369" s="12" t="s">
        <v>130</v>
      </c>
      <c r="H369" s="12" t="s">
        <v>86</v>
      </c>
      <c r="I369" s="12">
        <v>2</v>
      </c>
      <c r="J369" s="12">
        <v>37961</v>
      </c>
      <c r="K369" s="12">
        <v>68</v>
      </c>
      <c r="L369" s="12">
        <v>16</v>
      </c>
      <c r="M369" s="12">
        <v>38</v>
      </c>
      <c r="N369" s="12">
        <v>31</v>
      </c>
      <c r="O369" s="12" t="s">
        <v>21</v>
      </c>
      <c r="P369" s="12">
        <v>5.6</v>
      </c>
      <c r="Q369" s="12" t="s">
        <v>23</v>
      </c>
    </row>
    <row r="370" spans="1:17" x14ac:dyDescent="0.3">
      <c r="A370" s="12" t="s">
        <v>812</v>
      </c>
      <c r="B370" s="12" t="s">
        <v>813</v>
      </c>
      <c r="C370" s="12" t="s">
        <v>18</v>
      </c>
      <c r="D370" s="12">
        <v>44</v>
      </c>
      <c r="E370" s="12" t="s">
        <v>60</v>
      </c>
      <c r="F370" s="12" t="s">
        <v>17</v>
      </c>
      <c r="G370" s="12" t="s">
        <v>135</v>
      </c>
      <c r="H370" s="12" t="s">
        <v>62</v>
      </c>
      <c r="I370" s="12">
        <v>16</v>
      </c>
      <c r="J370" s="12">
        <v>46952</v>
      </c>
      <c r="K370" s="12">
        <v>73.3</v>
      </c>
      <c r="L370" s="12">
        <v>14</v>
      </c>
      <c r="M370" s="12">
        <v>4</v>
      </c>
      <c r="N370" s="12">
        <v>35</v>
      </c>
      <c r="O370" s="12" t="s">
        <v>22</v>
      </c>
      <c r="P370" s="12">
        <v>8.26</v>
      </c>
      <c r="Q370" s="12" t="s">
        <v>23</v>
      </c>
    </row>
    <row r="371" spans="1:17" x14ac:dyDescent="0.3">
      <c r="A371" s="12" t="s">
        <v>814</v>
      </c>
      <c r="B371" s="12" t="s">
        <v>815</v>
      </c>
      <c r="C371" s="12" t="s">
        <v>18</v>
      </c>
      <c r="D371" s="12">
        <v>38</v>
      </c>
      <c r="E371" s="12" t="s">
        <v>55</v>
      </c>
      <c r="F371" s="12" t="s">
        <v>13</v>
      </c>
      <c r="G371" s="12" t="s">
        <v>107</v>
      </c>
      <c r="H371" s="12" t="s">
        <v>86</v>
      </c>
      <c r="I371" s="12">
        <v>0</v>
      </c>
      <c r="J371" s="12">
        <v>89240</v>
      </c>
      <c r="K371" s="12">
        <v>68.099999999999994</v>
      </c>
      <c r="L371" s="12">
        <v>2</v>
      </c>
      <c r="M371" s="12">
        <v>34</v>
      </c>
      <c r="N371" s="12">
        <v>12</v>
      </c>
      <c r="O371" s="12" t="s">
        <v>22</v>
      </c>
      <c r="P371" s="12">
        <v>3.6</v>
      </c>
      <c r="Q371" s="12" t="s">
        <v>23</v>
      </c>
    </row>
    <row r="372" spans="1:17" x14ac:dyDescent="0.3">
      <c r="A372" s="12" t="s">
        <v>816</v>
      </c>
      <c r="B372" s="12" t="s">
        <v>817</v>
      </c>
      <c r="C372" s="12" t="s">
        <v>18</v>
      </c>
      <c r="D372" s="12">
        <v>22</v>
      </c>
      <c r="E372" s="12" t="s">
        <v>80</v>
      </c>
      <c r="F372" s="12" t="s">
        <v>15</v>
      </c>
      <c r="G372" s="12" t="s">
        <v>73</v>
      </c>
      <c r="H372" s="12" t="s">
        <v>62</v>
      </c>
      <c r="I372" s="12">
        <v>1</v>
      </c>
      <c r="J372" s="12">
        <v>31750</v>
      </c>
      <c r="K372" s="12">
        <v>85.86</v>
      </c>
      <c r="L372" s="12">
        <v>8</v>
      </c>
      <c r="M372" s="12">
        <v>44</v>
      </c>
      <c r="N372" s="12">
        <v>96</v>
      </c>
      <c r="O372" s="12" t="s">
        <v>21</v>
      </c>
      <c r="P372" s="12">
        <v>7.27</v>
      </c>
      <c r="Q372" s="12" t="s">
        <v>23</v>
      </c>
    </row>
    <row r="373" spans="1:17" x14ac:dyDescent="0.3">
      <c r="A373" s="12" t="s">
        <v>818</v>
      </c>
      <c r="B373" s="12" t="s">
        <v>819</v>
      </c>
      <c r="C373" s="12" t="s">
        <v>18</v>
      </c>
      <c r="D373" s="12">
        <v>37</v>
      </c>
      <c r="E373" s="12" t="s">
        <v>55</v>
      </c>
      <c r="F373" s="12" t="s">
        <v>12</v>
      </c>
      <c r="G373" s="12" t="s">
        <v>152</v>
      </c>
      <c r="H373" s="12" t="s">
        <v>57</v>
      </c>
      <c r="I373" s="12">
        <v>3</v>
      </c>
      <c r="J373" s="12">
        <v>106338</v>
      </c>
      <c r="K373" s="12">
        <v>85.76</v>
      </c>
      <c r="L373" s="12">
        <v>10</v>
      </c>
      <c r="M373" s="12">
        <v>32</v>
      </c>
      <c r="N373" s="12">
        <v>69</v>
      </c>
      <c r="O373" s="12" t="s">
        <v>20</v>
      </c>
      <c r="P373" s="12">
        <v>7.78</v>
      </c>
      <c r="Q373" s="12" t="s">
        <v>23</v>
      </c>
    </row>
    <row r="374" spans="1:17" x14ac:dyDescent="0.3">
      <c r="A374" s="12" t="s">
        <v>820</v>
      </c>
      <c r="B374" s="12" t="s">
        <v>821</v>
      </c>
      <c r="C374" s="12" t="s">
        <v>18</v>
      </c>
      <c r="D374" s="12">
        <v>40</v>
      </c>
      <c r="E374" s="12" t="s">
        <v>91</v>
      </c>
      <c r="F374" s="12" t="s">
        <v>12</v>
      </c>
      <c r="G374" s="12" t="s">
        <v>92</v>
      </c>
      <c r="H374" s="12" t="s">
        <v>62</v>
      </c>
      <c r="I374" s="12">
        <v>19</v>
      </c>
      <c r="J374" s="12">
        <v>50239</v>
      </c>
      <c r="K374" s="12">
        <v>65.27</v>
      </c>
      <c r="L374" s="12">
        <v>13</v>
      </c>
      <c r="M374" s="12">
        <v>7</v>
      </c>
      <c r="N374" s="12">
        <v>32</v>
      </c>
      <c r="O374" s="12" t="s">
        <v>22</v>
      </c>
      <c r="P374" s="12">
        <v>7.61</v>
      </c>
      <c r="Q374" s="12" t="s">
        <v>23</v>
      </c>
    </row>
    <row r="375" spans="1:17" x14ac:dyDescent="0.3">
      <c r="A375" s="12" t="s">
        <v>822</v>
      </c>
      <c r="B375" s="12" t="s">
        <v>823</v>
      </c>
      <c r="C375" s="12" t="s">
        <v>18</v>
      </c>
      <c r="D375" s="12">
        <v>45</v>
      </c>
      <c r="E375" s="12" t="s">
        <v>69</v>
      </c>
      <c r="F375" s="12" t="s">
        <v>12</v>
      </c>
      <c r="G375" s="12" t="s">
        <v>152</v>
      </c>
      <c r="H375" s="12" t="s">
        <v>86</v>
      </c>
      <c r="I375" s="12">
        <v>5</v>
      </c>
      <c r="J375" s="12">
        <v>115258</v>
      </c>
      <c r="K375" s="12">
        <v>83.83</v>
      </c>
      <c r="L375" s="12">
        <v>18</v>
      </c>
      <c r="M375" s="12">
        <v>37</v>
      </c>
      <c r="N375" s="12">
        <v>64</v>
      </c>
      <c r="O375" s="12" t="s">
        <v>22</v>
      </c>
      <c r="P375" s="12">
        <v>7.83</v>
      </c>
      <c r="Q375" s="12" t="s">
        <v>23</v>
      </c>
    </row>
    <row r="376" spans="1:17" x14ac:dyDescent="0.3">
      <c r="A376" s="12" t="s">
        <v>824</v>
      </c>
      <c r="B376" s="12" t="s">
        <v>825</v>
      </c>
      <c r="C376" s="12" t="s">
        <v>19</v>
      </c>
      <c r="D376" s="12">
        <v>42</v>
      </c>
      <c r="E376" s="12" t="s">
        <v>55</v>
      </c>
      <c r="F376" s="12" t="s">
        <v>16</v>
      </c>
      <c r="G376" s="12" t="s">
        <v>271</v>
      </c>
      <c r="H376" s="12" t="s">
        <v>57</v>
      </c>
      <c r="I376" s="12">
        <v>19</v>
      </c>
      <c r="J376" s="12">
        <v>70962</v>
      </c>
      <c r="K376" s="12">
        <v>74.739999999999995</v>
      </c>
      <c r="L376" s="12">
        <v>12</v>
      </c>
      <c r="M376" s="12">
        <v>53</v>
      </c>
      <c r="N376" s="12">
        <v>70</v>
      </c>
      <c r="O376" s="12" t="s">
        <v>20</v>
      </c>
      <c r="P376" s="12">
        <v>7.43</v>
      </c>
      <c r="Q376" s="12" t="s">
        <v>23</v>
      </c>
    </row>
    <row r="377" spans="1:17" x14ac:dyDescent="0.3">
      <c r="A377" s="12" t="s">
        <v>826</v>
      </c>
      <c r="B377" s="12" t="s">
        <v>827</v>
      </c>
      <c r="C377" s="12" t="s">
        <v>18</v>
      </c>
      <c r="D377" s="12">
        <v>56</v>
      </c>
      <c r="E377" s="12" t="s">
        <v>91</v>
      </c>
      <c r="F377" s="12" t="s">
        <v>16</v>
      </c>
      <c r="G377" s="12" t="s">
        <v>76</v>
      </c>
      <c r="H377" s="12" t="s">
        <v>57</v>
      </c>
      <c r="I377" s="12">
        <v>33</v>
      </c>
      <c r="J377" s="12">
        <v>107353</v>
      </c>
      <c r="K377" s="12">
        <v>74.069999999999993</v>
      </c>
      <c r="L377" s="12">
        <v>4</v>
      </c>
      <c r="M377" s="12">
        <v>45</v>
      </c>
      <c r="N377" s="12">
        <v>101</v>
      </c>
      <c r="O377" s="12" t="s">
        <v>20</v>
      </c>
      <c r="P377" s="12">
        <v>7.94</v>
      </c>
      <c r="Q377" s="12" t="s">
        <v>23</v>
      </c>
    </row>
    <row r="378" spans="1:17" x14ac:dyDescent="0.3">
      <c r="A378" s="12" t="s">
        <v>828</v>
      </c>
      <c r="B378" s="12" t="s">
        <v>829</v>
      </c>
      <c r="C378" s="12" t="s">
        <v>19</v>
      </c>
      <c r="D378" s="12">
        <v>28</v>
      </c>
      <c r="E378" s="12" t="s">
        <v>80</v>
      </c>
      <c r="F378" s="12" t="s">
        <v>14</v>
      </c>
      <c r="G378" s="12" t="s">
        <v>70</v>
      </c>
      <c r="H378" s="12" t="s">
        <v>77</v>
      </c>
      <c r="I378" s="12">
        <v>3</v>
      </c>
      <c r="J378" s="12">
        <v>79743</v>
      </c>
      <c r="K378" s="12">
        <v>80.69</v>
      </c>
      <c r="L378" s="12">
        <v>8</v>
      </c>
      <c r="M378" s="12">
        <v>11</v>
      </c>
      <c r="N378" s="12">
        <v>92</v>
      </c>
      <c r="O378" s="12" t="s">
        <v>22</v>
      </c>
      <c r="P378" s="12">
        <v>8.15</v>
      </c>
      <c r="Q378" s="12" t="s">
        <v>23</v>
      </c>
    </row>
    <row r="379" spans="1:17" x14ac:dyDescent="0.3">
      <c r="A379" s="12" t="s">
        <v>830</v>
      </c>
      <c r="B379" s="12" t="s">
        <v>831</v>
      </c>
      <c r="C379" s="12" t="s">
        <v>19</v>
      </c>
      <c r="D379" s="12">
        <v>57</v>
      </c>
      <c r="E379" s="12" t="s">
        <v>91</v>
      </c>
      <c r="F379" s="12" t="s">
        <v>13</v>
      </c>
      <c r="G379" s="12" t="s">
        <v>107</v>
      </c>
      <c r="H379" s="12" t="s">
        <v>77</v>
      </c>
      <c r="I379" s="12">
        <v>15</v>
      </c>
      <c r="J379" s="12">
        <v>59620</v>
      </c>
      <c r="K379" s="12">
        <v>84.63</v>
      </c>
      <c r="L379" s="12">
        <v>15</v>
      </c>
      <c r="M379" s="12">
        <v>58</v>
      </c>
      <c r="N379" s="12">
        <v>74</v>
      </c>
      <c r="O379" s="12" t="s">
        <v>21</v>
      </c>
      <c r="P379" s="12">
        <v>8.9600000000000009</v>
      </c>
      <c r="Q379" s="12" t="s">
        <v>24</v>
      </c>
    </row>
    <row r="380" spans="1:17" x14ac:dyDescent="0.3">
      <c r="A380" s="12" t="s">
        <v>832</v>
      </c>
      <c r="B380" s="12" t="s">
        <v>833</v>
      </c>
      <c r="C380" s="12" t="s">
        <v>18</v>
      </c>
      <c r="D380" s="12">
        <v>38</v>
      </c>
      <c r="E380" s="12" t="s">
        <v>60</v>
      </c>
      <c r="F380" s="12" t="s">
        <v>14</v>
      </c>
      <c r="G380" s="12" t="s">
        <v>110</v>
      </c>
      <c r="H380" s="12" t="s">
        <v>62</v>
      </c>
      <c r="I380" s="12">
        <v>16</v>
      </c>
      <c r="J380" s="12">
        <v>122276</v>
      </c>
      <c r="K380" s="12">
        <v>87.9</v>
      </c>
      <c r="L380" s="12">
        <v>2</v>
      </c>
      <c r="M380" s="12">
        <v>27</v>
      </c>
      <c r="N380" s="12">
        <v>80</v>
      </c>
      <c r="O380" s="12" t="s">
        <v>20</v>
      </c>
      <c r="P380" s="12">
        <v>7.39</v>
      </c>
      <c r="Q380" s="12" t="s">
        <v>23</v>
      </c>
    </row>
    <row r="381" spans="1:17" x14ac:dyDescent="0.3">
      <c r="A381" s="12" t="s">
        <v>834</v>
      </c>
      <c r="B381" s="12" t="s">
        <v>835</v>
      </c>
      <c r="C381" s="12" t="s">
        <v>18</v>
      </c>
      <c r="D381" s="12">
        <v>39</v>
      </c>
      <c r="E381" s="12" t="s">
        <v>60</v>
      </c>
      <c r="F381" s="12" t="s">
        <v>12</v>
      </c>
      <c r="G381" s="12" t="s">
        <v>92</v>
      </c>
      <c r="H381" s="12" t="s">
        <v>57</v>
      </c>
      <c r="I381" s="12">
        <v>10</v>
      </c>
      <c r="J381" s="12">
        <v>132785</v>
      </c>
      <c r="K381" s="12">
        <v>76.209999999999994</v>
      </c>
      <c r="L381" s="12">
        <v>18</v>
      </c>
      <c r="M381" s="12">
        <v>58</v>
      </c>
      <c r="N381" s="12">
        <v>75</v>
      </c>
      <c r="O381" s="12" t="s">
        <v>21</v>
      </c>
      <c r="P381" s="12">
        <v>8.08</v>
      </c>
      <c r="Q381" s="12" t="s">
        <v>23</v>
      </c>
    </row>
    <row r="382" spans="1:17" x14ac:dyDescent="0.3">
      <c r="A382" s="12" t="s">
        <v>836</v>
      </c>
      <c r="B382" s="12" t="s">
        <v>837</v>
      </c>
      <c r="C382" s="12" t="s">
        <v>18</v>
      </c>
      <c r="D382" s="12">
        <v>58</v>
      </c>
      <c r="E382" s="12" t="s">
        <v>65</v>
      </c>
      <c r="F382" s="12" t="s">
        <v>13</v>
      </c>
      <c r="G382" s="12" t="s">
        <v>66</v>
      </c>
      <c r="H382" s="12" t="s">
        <v>57</v>
      </c>
      <c r="I382" s="12">
        <v>1</v>
      </c>
      <c r="J382" s="12">
        <v>51787</v>
      </c>
      <c r="K382" s="12">
        <v>75.739999999999995</v>
      </c>
      <c r="L382" s="12">
        <v>5</v>
      </c>
      <c r="M382" s="12">
        <v>25</v>
      </c>
      <c r="N382" s="12">
        <v>11</v>
      </c>
      <c r="O382" s="12" t="s">
        <v>20</v>
      </c>
      <c r="P382" s="12">
        <v>4.75</v>
      </c>
      <c r="Q382" s="12" t="s">
        <v>23</v>
      </c>
    </row>
    <row r="383" spans="1:17" x14ac:dyDescent="0.3">
      <c r="A383" s="12" t="s">
        <v>838</v>
      </c>
      <c r="B383" s="12" t="s">
        <v>839</v>
      </c>
      <c r="C383" s="12" t="s">
        <v>18</v>
      </c>
      <c r="D383" s="12">
        <v>47</v>
      </c>
      <c r="E383" s="12" t="s">
        <v>60</v>
      </c>
      <c r="F383" s="12" t="s">
        <v>17</v>
      </c>
      <c r="G383" s="12" t="s">
        <v>99</v>
      </c>
      <c r="H383" s="12" t="s">
        <v>77</v>
      </c>
      <c r="I383" s="12">
        <v>22</v>
      </c>
      <c r="J383" s="12">
        <v>87496</v>
      </c>
      <c r="K383" s="12">
        <v>99.06</v>
      </c>
      <c r="L383" s="12">
        <v>16</v>
      </c>
      <c r="M383" s="12">
        <v>24</v>
      </c>
      <c r="N383" s="12">
        <v>77</v>
      </c>
      <c r="O383" s="12" t="s">
        <v>21</v>
      </c>
      <c r="P383" s="12">
        <v>9.23</v>
      </c>
      <c r="Q383" s="12" t="s">
        <v>24</v>
      </c>
    </row>
    <row r="384" spans="1:17" x14ac:dyDescent="0.3">
      <c r="A384" s="12" t="s">
        <v>840</v>
      </c>
      <c r="B384" s="12" t="s">
        <v>841</v>
      </c>
      <c r="C384" s="12" t="s">
        <v>18</v>
      </c>
      <c r="D384" s="12">
        <v>32</v>
      </c>
      <c r="E384" s="12" t="s">
        <v>80</v>
      </c>
      <c r="F384" s="12" t="s">
        <v>15</v>
      </c>
      <c r="G384" s="12" t="s">
        <v>130</v>
      </c>
      <c r="H384" s="12" t="s">
        <v>86</v>
      </c>
      <c r="I384" s="12">
        <v>4</v>
      </c>
      <c r="J384" s="12">
        <v>52507</v>
      </c>
      <c r="K384" s="12">
        <v>68.11</v>
      </c>
      <c r="L384" s="12">
        <v>19</v>
      </c>
      <c r="M384" s="12">
        <v>37</v>
      </c>
      <c r="N384" s="12">
        <v>87</v>
      </c>
      <c r="O384" s="12" t="s">
        <v>20</v>
      </c>
      <c r="P384" s="12">
        <v>8.85</v>
      </c>
      <c r="Q384" s="12" t="s">
        <v>24</v>
      </c>
    </row>
    <row r="385" spans="1:17" x14ac:dyDescent="0.3">
      <c r="A385" s="12" t="s">
        <v>842</v>
      </c>
      <c r="B385" s="12" t="s">
        <v>843</v>
      </c>
      <c r="C385" s="12" t="s">
        <v>19</v>
      </c>
      <c r="D385" s="12">
        <v>32</v>
      </c>
      <c r="E385" s="12" t="s">
        <v>80</v>
      </c>
      <c r="F385" s="12" t="s">
        <v>17</v>
      </c>
      <c r="G385" s="12" t="s">
        <v>99</v>
      </c>
      <c r="H385" s="12" t="s">
        <v>86</v>
      </c>
      <c r="I385" s="12">
        <v>6</v>
      </c>
      <c r="J385" s="12">
        <v>132395</v>
      </c>
      <c r="K385" s="12">
        <v>76.88</v>
      </c>
      <c r="L385" s="12">
        <v>2</v>
      </c>
      <c r="M385" s="12">
        <v>2</v>
      </c>
      <c r="N385" s="12">
        <v>41</v>
      </c>
      <c r="O385" s="12" t="s">
        <v>22</v>
      </c>
      <c r="P385" s="12">
        <v>6.38</v>
      </c>
      <c r="Q385" s="12" t="s">
        <v>23</v>
      </c>
    </row>
    <row r="386" spans="1:17" x14ac:dyDescent="0.3">
      <c r="A386" s="12" t="s">
        <v>844</v>
      </c>
      <c r="B386" s="12" t="s">
        <v>845</v>
      </c>
      <c r="C386" s="12" t="s">
        <v>18</v>
      </c>
      <c r="D386" s="12">
        <v>53</v>
      </c>
      <c r="E386" s="12" t="s">
        <v>65</v>
      </c>
      <c r="F386" s="12" t="s">
        <v>17</v>
      </c>
      <c r="G386" s="12" t="s">
        <v>102</v>
      </c>
      <c r="H386" s="12" t="s">
        <v>77</v>
      </c>
      <c r="I386" s="12">
        <v>6</v>
      </c>
      <c r="J386" s="12">
        <v>85948</v>
      </c>
      <c r="K386" s="12">
        <v>96.59</v>
      </c>
      <c r="L386" s="12">
        <v>1</v>
      </c>
      <c r="M386" s="12">
        <v>59</v>
      </c>
      <c r="N386" s="12">
        <v>14</v>
      </c>
      <c r="O386" s="12" t="s">
        <v>21</v>
      </c>
      <c r="P386" s="12">
        <v>4.4400000000000004</v>
      </c>
      <c r="Q386" s="12" t="s">
        <v>23</v>
      </c>
    </row>
    <row r="387" spans="1:17" x14ac:dyDescent="0.3">
      <c r="A387" s="12" t="s">
        <v>846</v>
      </c>
      <c r="B387" s="12" t="s">
        <v>847</v>
      </c>
      <c r="C387" s="12" t="s">
        <v>18</v>
      </c>
      <c r="D387" s="12">
        <v>34</v>
      </c>
      <c r="E387" s="12" t="s">
        <v>65</v>
      </c>
      <c r="F387" s="12" t="s">
        <v>12</v>
      </c>
      <c r="G387" s="12" t="s">
        <v>152</v>
      </c>
      <c r="H387" s="12" t="s">
        <v>77</v>
      </c>
      <c r="I387" s="12">
        <v>1</v>
      </c>
      <c r="J387" s="12">
        <v>152770</v>
      </c>
      <c r="K387" s="12">
        <v>92.55</v>
      </c>
      <c r="L387" s="12">
        <v>16</v>
      </c>
      <c r="M387" s="12">
        <v>55</v>
      </c>
      <c r="N387" s="12">
        <v>29</v>
      </c>
      <c r="O387" s="12" t="s">
        <v>22</v>
      </c>
      <c r="P387" s="12">
        <v>6.96</v>
      </c>
      <c r="Q387" s="12" t="s">
        <v>23</v>
      </c>
    </row>
    <row r="388" spans="1:17" x14ac:dyDescent="0.3">
      <c r="A388" s="12" t="s">
        <v>848</v>
      </c>
      <c r="B388" s="12" t="s">
        <v>849</v>
      </c>
      <c r="C388" s="12" t="s">
        <v>19</v>
      </c>
      <c r="D388" s="12">
        <v>36</v>
      </c>
      <c r="E388" s="12" t="s">
        <v>55</v>
      </c>
      <c r="F388" s="12" t="s">
        <v>12</v>
      </c>
      <c r="G388" s="12" t="s">
        <v>152</v>
      </c>
      <c r="H388" s="12" t="s">
        <v>57</v>
      </c>
      <c r="I388" s="12">
        <v>12</v>
      </c>
      <c r="J388" s="12">
        <v>67791</v>
      </c>
      <c r="K388" s="12">
        <v>86.26</v>
      </c>
      <c r="L388" s="12">
        <v>12</v>
      </c>
      <c r="M388" s="12">
        <v>19</v>
      </c>
      <c r="N388" s="12">
        <v>64</v>
      </c>
      <c r="O388" s="12" t="s">
        <v>20</v>
      </c>
      <c r="P388" s="12">
        <v>7.55</v>
      </c>
      <c r="Q388" s="12" t="s">
        <v>23</v>
      </c>
    </row>
    <row r="389" spans="1:17" x14ac:dyDescent="0.3">
      <c r="A389" s="12" t="s">
        <v>850</v>
      </c>
      <c r="B389" s="12" t="s">
        <v>851</v>
      </c>
      <c r="C389" s="12" t="s">
        <v>18</v>
      </c>
      <c r="D389" s="12">
        <v>28</v>
      </c>
      <c r="E389" s="12" t="s">
        <v>91</v>
      </c>
      <c r="F389" s="12" t="s">
        <v>14</v>
      </c>
      <c r="G389" s="12" t="s">
        <v>85</v>
      </c>
      <c r="H389" s="12" t="s">
        <v>57</v>
      </c>
      <c r="I389" s="12">
        <v>1</v>
      </c>
      <c r="J389" s="12">
        <v>139696</v>
      </c>
      <c r="K389" s="12">
        <v>71.91</v>
      </c>
      <c r="L389" s="12">
        <v>8</v>
      </c>
      <c r="M389" s="12">
        <v>23</v>
      </c>
      <c r="N389" s="12">
        <v>70</v>
      </c>
      <c r="O389" s="12" t="s">
        <v>22</v>
      </c>
      <c r="P389" s="12">
        <v>6.17</v>
      </c>
      <c r="Q389" s="12" t="s">
        <v>23</v>
      </c>
    </row>
    <row r="390" spans="1:17" x14ac:dyDescent="0.3">
      <c r="A390" s="12" t="s">
        <v>852</v>
      </c>
      <c r="B390" s="12" t="s">
        <v>853</v>
      </c>
      <c r="C390" s="12" t="s">
        <v>19</v>
      </c>
      <c r="D390" s="12">
        <v>53</v>
      </c>
      <c r="E390" s="12" t="s">
        <v>55</v>
      </c>
      <c r="F390" s="12" t="s">
        <v>17</v>
      </c>
      <c r="G390" s="12" t="s">
        <v>99</v>
      </c>
      <c r="H390" s="12" t="s">
        <v>57</v>
      </c>
      <c r="I390" s="12">
        <v>28</v>
      </c>
      <c r="J390" s="12">
        <v>74824</v>
      </c>
      <c r="K390" s="12">
        <v>67.55</v>
      </c>
      <c r="L390" s="12">
        <v>6</v>
      </c>
      <c r="M390" s="12">
        <v>44</v>
      </c>
      <c r="N390" s="12">
        <v>91</v>
      </c>
      <c r="O390" s="12" t="s">
        <v>21</v>
      </c>
      <c r="P390" s="12">
        <v>7.86</v>
      </c>
      <c r="Q390" s="12" t="s">
        <v>23</v>
      </c>
    </row>
    <row r="391" spans="1:17" x14ac:dyDescent="0.3">
      <c r="A391" s="12" t="s">
        <v>854</v>
      </c>
      <c r="B391" s="12" t="s">
        <v>855</v>
      </c>
      <c r="C391" s="12" t="s">
        <v>18</v>
      </c>
      <c r="D391" s="12">
        <v>31</v>
      </c>
      <c r="E391" s="12" t="s">
        <v>55</v>
      </c>
      <c r="F391" s="12" t="s">
        <v>16</v>
      </c>
      <c r="G391" s="12" t="s">
        <v>76</v>
      </c>
      <c r="H391" s="12" t="s">
        <v>77</v>
      </c>
      <c r="I391" s="12">
        <v>3</v>
      </c>
      <c r="J391" s="12">
        <v>94803</v>
      </c>
      <c r="K391" s="12">
        <v>89.23</v>
      </c>
      <c r="L391" s="12">
        <v>19</v>
      </c>
      <c r="M391" s="12">
        <v>21</v>
      </c>
      <c r="N391" s="12">
        <v>73</v>
      </c>
      <c r="O391" s="12" t="s">
        <v>21</v>
      </c>
      <c r="P391" s="12">
        <v>9.1999999999999993</v>
      </c>
      <c r="Q391" s="12" t="s">
        <v>24</v>
      </c>
    </row>
    <row r="392" spans="1:17" x14ac:dyDescent="0.3">
      <c r="A392" s="12" t="s">
        <v>856</v>
      </c>
      <c r="B392" s="12" t="s">
        <v>857</v>
      </c>
      <c r="C392" s="12" t="s">
        <v>18</v>
      </c>
      <c r="D392" s="12">
        <v>35</v>
      </c>
      <c r="E392" s="12" t="s">
        <v>55</v>
      </c>
      <c r="F392" s="12" t="s">
        <v>12</v>
      </c>
      <c r="G392" s="12" t="s">
        <v>92</v>
      </c>
      <c r="H392" s="12" t="s">
        <v>57</v>
      </c>
      <c r="I392" s="12">
        <v>1</v>
      </c>
      <c r="J392" s="12">
        <v>112006</v>
      </c>
      <c r="K392" s="12">
        <v>70.02</v>
      </c>
      <c r="L392" s="12">
        <v>9</v>
      </c>
      <c r="M392" s="12">
        <v>55</v>
      </c>
      <c r="N392" s="12">
        <v>30</v>
      </c>
      <c r="O392" s="12" t="s">
        <v>21</v>
      </c>
      <c r="P392" s="12">
        <v>5.62</v>
      </c>
      <c r="Q392" s="12" t="s">
        <v>23</v>
      </c>
    </row>
    <row r="393" spans="1:17" x14ac:dyDescent="0.3">
      <c r="A393" s="12" t="s">
        <v>858</v>
      </c>
      <c r="B393" s="12" t="s">
        <v>859</v>
      </c>
      <c r="C393" s="12" t="s">
        <v>18</v>
      </c>
      <c r="D393" s="12">
        <v>42</v>
      </c>
      <c r="E393" s="12" t="s">
        <v>55</v>
      </c>
      <c r="F393" s="12" t="s">
        <v>15</v>
      </c>
      <c r="G393" s="12" t="s">
        <v>73</v>
      </c>
      <c r="H393" s="12" t="s">
        <v>77</v>
      </c>
      <c r="I393" s="12">
        <v>16</v>
      </c>
      <c r="J393" s="12">
        <v>95773</v>
      </c>
      <c r="K393" s="12">
        <v>85.97</v>
      </c>
      <c r="L393" s="12">
        <v>7</v>
      </c>
      <c r="M393" s="12">
        <v>7</v>
      </c>
      <c r="N393" s="12">
        <v>114</v>
      </c>
      <c r="O393" s="12" t="s">
        <v>21</v>
      </c>
      <c r="P393" s="12">
        <v>7.68</v>
      </c>
      <c r="Q393" s="12" t="s">
        <v>23</v>
      </c>
    </row>
    <row r="394" spans="1:17" x14ac:dyDescent="0.3">
      <c r="A394" s="12" t="s">
        <v>860</v>
      </c>
      <c r="B394" s="12" t="s">
        <v>861</v>
      </c>
      <c r="C394" s="12" t="s">
        <v>18</v>
      </c>
      <c r="D394" s="12">
        <v>45</v>
      </c>
      <c r="E394" s="12" t="s">
        <v>69</v>
      </c>
      <c r="F394" s="12" t="s">
        <v>14</v>
      </c>
      <c r="G394" s="12" t="s">
        <v>85</v>
      </c>
      <c r="H394" s="12" t="s">
        <v>77</v>
      </c>
      <c r="I394" s="12">
        <v>2</v>
      </c>
      <c r="J394" s="12">
        <v>177706</v>
      </c>
      <c r="K394" s="12">
        <v>75.150000000000006</v>
      </c>
      <c r="L394" s="12">
        <v>9</v>
      </c>
      <c r="M394" s="12">
        <v>42</v>
      </c>
      <c r="N394" s="12">
        <v>52</v>
      </c>
      <c r="O394" s="12" t="s">
        <v>20</v>
      </c>
      <c r="P394" s="12">
        <v>5.81</v>
      </c>
      <c r="Q394" s="12" t="s">
        <v>23</v>
      </c>
    </row>
    <row r="395" spans="1:17" x14ac:dyDescent="0.3">
      <c r="A395" s="12" t="s">
        <v>862</v>
      </c>
      <c r="B395" s="12" t="s">
        <v>863</v>
      </c>
      <c r="C395" s="12" t="s">
        <v>19</v>
      </c>
      <c r="D395" s="12">
        <v>41</v>
      </c>
      <c r="E395" s="12" t="s">
        <v>80</v>
      </c>
      <c r="F395" s="12" t="s">
        <v>12</v>
      </c>
      <c r="G395" s="12" t="s">
        <v>119</v>
      </c>
      <c r="H395" s="12" t="s">
        <v>77</v>
      </c>
      <c r="I395" s="12">
        <v>6</v>
      </c>
      <c r="J395" s="12">
        <v>154370</v>
      </c>
      <c r="K395" s="12">
        <v>94.56</v>
      </c>
      <c r="L395" s="12">
        <v>16</v>
      </c>
      <c r="M395" s="12">
        <v>43</v>
      </c>
      <c r="N395" s="12">
        <v>62</v>
      </c>
      <c r="O395" s="12" t="s">
        <v>21</v>
      </c>
      <c r="P395" s="12">
        <v>8.52</v>
      </c>
      <c r="Q395" s="12" t="s">
        <v>24</v>
      </c>
    </row>
    <row r="396" spans="1:17" x14ac:dyDescent="0.3">
      <c r="A396" s="12" t="s">
        <v>864</v>
      </c>
      <c r="B396" s="12" t="s">
        <v>865</v>
      </c>
      <c r="C396" s="12" t="s">
        <v>19</v>
      </c>
      <c r="D396" s="12">
        <v>42</v>
      </c>
      <c r="E396" s="12" t="s">
        <v>80</v>
      </c>
      <c r="F396" s="12" t="s">
        <v>15</v>
      </c>
      <c r="G396" s="12" t="s">
        <v>130</v>
      </c>
      <c r="H396" s="12" t="s">
        <v>77</v>
      </c>
      <c r="I396" s="12">
        <v>19</v>
      </c>
      <c r="J396" s="12">
        <v>128805</v>
      </c>
      <c r="K396" s="12">
        <v>97.45</v>
      </c>
      <c r="L396" s="12">
        <v>3</v>
      </c>
      <c r="M396" s="12">
        <v>57</v>
      </c>
      <c r="N396" s="12">
        <v>80</v>
      </c>
      <c r="O396" s="12" t="s">
        <v>20</v>
      </c>
      <c r="P396" s="12">
        <v>7.61</v>
      </c>
      <c r="Q396" s="12" t="s">
        <v>23</v>
      </c>
    </row>
    <row r="397" spans="1:17" x14ac:dyDescent="0.3">
      <c r="A397" s="12" t="s">
        <v>866</v>
      </c>
      <c r="B397" s="12" t="s">
        <v>867</v>
      </c>
      <c r="C397" s="12" t="s">
        <v>18</v>
      </c>
      <c r="D397" s="12">
        <v>56</v>
      </c>
      <c r="E397" s="12" t="s">
        <v>91</v>
      </c>
      <c r="F397" s="12" t="s">
        <v>14</v>
      </c>
      <c r="G397" s="12" t="s">
        <v>248</v>
      </c>
      <c r="H397" s="12" t="s">
        <v>86</v>
      </c>
      <c r="I397" s="12">
        <v>28</v>
      </c>
      <c r="J397" s="12">
        <v>177026</v>
      </c>
      <c r="K397" s="12">
        <v>81.09</v>
      </c>
      <c r="L397" s="12">
        <v>4</v>
      </c>
      <c r="M397" s="12">
        <v>24</v>
      </c>
      <c r="N397" s="12">
        <v>100</v>
      </c>
      <c r="O397" s="12" t="s">
        <v>22</v>
      </c>
      <c r="P397" s="12">
        <v>7.46</v>
      </c>
      <c r="Q397" s="12" t="s">
        <v>23</v>
      </c>
    </row>
    <row r="398" spans="1:17" x14ac:dyDescent="0.3">
      <c r="A398" s="12" t="s">
        <v>868</v>
      </c>
      <c r="B398" s="12" t="s">
        <v>869</v>
      </c>
      <c r="C398" s="12" t="s">
        <v>18</v>
      </c>
      <c r="D398" s="12">
        <v>29</v>
      </c>
      <c r="E398" s="12" t="s">
        <v>65</v>
      </c>
      <c r="F398" s="12" t="s">
        <v>12</v>
      </c>
      <c r="G398" s="12" t="s">
        <v>152</v>
      </c>
      <c r="H398" s="12" t="s">
        <v>86</v>
      </c>
      <c r="I398" s="12">
        <v>1</v>
      </c>
      <c r="J398" s="12">
        <v>135435</v>
      </c>
      <c r="K398" s="12">
        <v>87.22</v>
      </c>
      <c r="L398" s="12">
        <v>6</v>
      </c>
      <c r="M398" s="12">
        <v>51</v>
      </c>
      <c r="N398" s="12">
        <v>16</v>
      </c>
      <c r="O398" s="12" t="s">
        <v>20</v>
      </c>
      <c r="P398" s="12">
        <v>6.19</v>
      </c>
      <c r="Q398" s="12" t="s">
        <v>23</v>
      </c>
    </row>
    <row r="399" spans="1:17" x14ac:dyDescent="0.3">
      <c r="A399" s="12" t="s">
        <v>870</v>
      </c>
      <c r="B399" s="12" t="s">
        <v>871</v>
      </c>
      <c r="C399" s="12" t="s">
        <v>19</v>
      </c>
      <c r="D399" s="12">
        <v>54</v>
      </c>
      <c r="E399" s="12" t="s">
        <v>60</v>
      </c>
      <c r="F399" s="12" t="s">
        <v>17</v>
      </c>
      <c r="G399" s="12" t="s">
        <v>102</v>
      </c>
      <c r="H399" s="12" t="s">
        <v>57</v>
      </c>
      <c r="I399" s="12">
        <v>28</v>
      </c>
      <c r="J399" s="12">
        <v>108358</v>
      </c>
      <c r="K399" s="12">
        <v>96.11</v>
      </c>
      <c r="L399" s="12">
        <v>6</v>
      </c>
      <c r="M399" s="12">
        <v>44</v>
      </c>
      <c r="N399" s="12">
        <v>91</v>
      </c>
      <c r="O399" s="12" t="s">
        <v>20</v>
      </c>
      <c r="P399" s="12">
        <v>8.8699999999999992</v>
      </c>
      <c r="Q399" s="12" t="s">
        <v>24</v>
      </c>
    </row>
    <row r="400" spans="1:17" x14ac:dyDescent="0.3">
      <c r="A400" s="12" t="s">
        <v>872</v>
      </c>
      <c r="B400" s="12" t="s">
        <v>873</v>
      </c>
      <c r="C400" s="12" t="s">
        <v>19</v>
      </c>
      <c r="D400" s="12">
        <v>43</v>
      </c>
      <c r="E400" s="12" t="s">
        <v>91</v>
      </c>
      <c r="F400" s="12" t="s">
        <v>13</v>
      </c>
      <c r="G400" s="12" t="s">
        <v>107</v>
      </c>
      <c r="H400" s="12" t="s">
        <v>62</v>
      </c>
      <c r="I400" s="12">
        <v>19</v>
      </c>
      <c r="J400" s="12">
        <v>67000</v>
      </c>
      <c r="K400" s="12">
        <v>95.98</v>
      </c>
      <c r="L400" s="12">
        <v>20</v>
      </c>
      <c r="M400" s="12">
        <v>33</v>
      </c>
      <c r="N400" s="12">
        <v>96</v>
      </c>
      <c r="O400" s="12" t="s">
        <v>22</v>
      </c>
      <c r="P400" s="12">
        <v>10</v>
      </c>
      <c r="Q400" s="12" t="s">
        <v>24</v>
      </c>
    </row>
    <row r="401" spans="1:17" x14ac:dyDescent="0.3">
      <c r="A401" s="12" t="s">
        <v>874</v>
      </c>
      <c r="B401" s="12" t="s">
        <v>875</v>
      </c>
      <c r="C401" s="12" t="s">
        <v>18</v>
      </c>
      <c r="D401" s="12">
        <v>47</v>
      </c>
      <c r="E401" s="12" t="s">
        <v>69</v>
      </c>
      <c r="F401" s="12" t="s">
        <v>13</v>
      </c>
      <c r="G401" s="12" t="s">
        <v>66</v>
      </c>
      <c r="H401" s="12" t="s">
        <v>62</v>
      </c>
      <c r="I401" s="12">
        <v>17</v>
      </c>
      <c r="J401" s="12">
        <v>40897</v>
      </c>
      <c r="K401" s="12">
        <v>93.61</v>
      </c>
      <c r="L401" s="12">
        <v>18</v>
      </c>
      <c r="M401" s="12">
        <v>2</v>
      </c>
      <c r="N401" s="12">
        <v>8</v>
      </c>
      <c r="O401" s="12" t="s">
        <v>20</v>
      </c>
      <c r="P401" s="12">
        <v>7.66</v>
      </c>
      <c r="Q401" s="12" t="s">
        <v>23</v>
      </c>
    </row>
    <row r="402" spans="1:17" x14ac:dyDescent="0.3">
      <c r="A402" s="12" t="s">
        <v>876</v>
      </c>
      <c r="B402" s="12" t="s">
        <v>877</v>
      </c>
      <c r="C402" s="12" t="s">
        <v>18</v>
      </c>
      <c r="D402" s="12">
        <v>29</v>
      </c>
      <c r="E402" s="12" t="s">
        <v>80</v>
      </c>
      <c r="F402" s="12" t="s">
        <v>16</v>
      </c>
      <c r="G402" s="12" t="s">
        <v>76</v>
      </c>
      <c r="H402" s="12" t="s">
        <v>62</v>
      </c>
      <c r="I402" s="12">
        <v>7</v>
      </c>
      <c r="J402" s="12">
        <v>118486</v>
      </c>
      <c r="K402" s="12">
        <v>77.209999999999994</v>
      </c>
      <c r="L402" s="12">
        <v>12</v>
      </c>
      <c r="M402" s="12">
        <v>16</v>
      </c>
      <c r="N402" s="12">
        <v>55</v>
      </c>
      <c r="O402" s="12" t="s">
        <v>20</v>
      </c>
      <c r="P402" s="12">
        <v>6.67</v>
      </c>
      <c r="Q402" s="12" t="s">
        <v>23</v>
      </c>
    </row>
    <row r="403" spans="1:17" x14ac:dyDescent="0.3">
      <c r="A403" s="12" t="s">
        <v>878</v>
      </c>
      <c r="B403" s="12" t="s">
        <v>0</v>
      </c>
      <c r="C403" s="12" t="s">
        <v>18</v>
      </c>
      <c r="D403" s="12">
        <v>34</v>
      </c>
      <c r="E403" s="12" t="s">
        <v>60</v>
      </c>
      <c r="F403" s="12" t="s">
        <v>14</v>
      </c>
      <c r="G403" s="12" t="s">
        <v>110</v>
      </c>
      <c r="H403" s="12" t="s">
        <v>62</v>
      </c>
      <c r="I403" s="12">
        <v>0</v>
      </c>
      <c r="J403" s="12">
        <v>85713</v>
      </c>
      <c r="K403" s="12">
        <v>89.85</v>
      </c>
      <c r="L403" s="12">
        <v>4</v>
      </c>
      <c r="M403" s="12">
        <v>15</v>
      </c>
      <c r="N403" s="12">
        <v>37</v>
      </c>
      <c r="O403" s="12" t="s">
        <v>22</v>
      </c>
      <c r="P403" s="12">
        <v>4.93</v>
      </c>
      <c r="Q403" s="12" t="s">
        <v>23</v>
      </c>
    </row>
    <row r="404" spans="1:17" x14ac:dyDescent="0.3">
      <c r="A404" s="12" t="s">
        <v>879</v>
      </c>
      <c r="B404" s="12" t="s">
        <v>880</v>
      </c>
      <c r="C404" s="12" t="s">
        <v>19</v>
      </c>
      <c r="D404" s="12">
        <v>37</v>
      </c>
      <c r="E404" s="12" t="s">
        <v>80</v>
      </c>
      <c r="F404" s="12" t="s">
        <v>16</v>
      </c>
      <c r="G404" s="12" t="s">
        <v>76</v>
      </c>
      <c r="H404" s="12" t="s">
        <v>62</v>
      </c>
      <c r="I404" s="12">
        <v>15</v>
      </c>
      <c r="J404" s="12">
        <v>41710</v>
      </c>
      <c r="K404" s="12">
        <v>73.739999999999995</v>
      </c>
      <c r="L404" s="12">
        <v>8</v>
      </c>
      <c r="M404" s="12">
        <v>22</v>
      </c>
      <c r="N404" s="12">
        <v>57</v>
      </c>
      <c r="O404" s="12" t="s">
        <v>21</v>
      </c>
      <c r="P404" s="12">
        <v>7.81</v>
      </c>
      <c r="Q404" s="12" t="s">
        <v>23</v>
      </c>
    </row>
    <row r="405" spans="1:17" x14ac:dyDescent="0.3">
      <c r="A405" s="12" t="s">
        <v>881</v>
      </c>
      <c r="B405" s="12" t="s">
        <v>882</v>
      </c>
      <c r="C405" s="12" t="s">
        <v>18</v>
      </c>
      <c r="D405" s="12">
        <v>47</v>
      </c>
      <c r="E405" s="12" t="s">
        <v>55</v>
      </c>
      <c r="F405" s="12" t="s">
        <v>13</v>
      </c>
      <c r="G405" s="12" t="s">
        <v>56</v>
      </c>
      <c r="H405" s="12" t="s">
        <v>77</v>
      </c>
      <c r="I405" s="12">
        <v>18</v>
      </c>
      <c r="J405" s="12">
        <v>54811</v>
      </c>
      <c r="K405" s="12">
        <v>67.290000000000006</v>
      </c>
      <c r="L405" s="12">
        <v>18</v>
      </c>
      <c r="M405" s="12">
        <v>30</v>
      </c>
      <c r="N405" s="12">
        <v>16</v>
      </c>
      <c r="O405" s="12" t="s">
        <v>21</v>
      </c>
      <c r="P405" s="12">
        <v>8.1199999999999992</v>
      </c>
      <c r="Q405" s="12" t="s">
        <v>23</v>
      </c>
    </row>
    <row r="406" spans="1:17" x14ac:dyDescent="0.3">
      <c r="A406" s="12" t="s">
        <v>883</v>
      </c>
      <c r="B406" s="12" t="s">
        <v>884</v>
      </c>
      <c r="C406" s="12" t="s">
        <v>18</v>
      </c>
      <c r="D406" s="12">
        <v>52</v>
      </c>
      <c r="E406" s="12" t="s">
        <v>80</v>
      </c>
      <c r="F406" s="12" t="s">
        <v>13</v>
      </c>
      <c r="G406" s="12" t="s">
        <v>107</v>
      </c>
      <c r="H406" s="12" t="s">
        <v>62</v>
      </c>
      <c r="I406" s="12">
        <v>25</v>
      </c>
      <c r="J406" s="12">
        <v>58257</v>
      </c>
      <c r="K406" s="12">
        <v>66.52</v>
      </c>
      <c r="L406" s="12">
        <v>14</v>
      </c>
      <c r="M406" s="12">
        <v>22</v>
      </c>
      <c r="N406" s="12">
        <v>55</v>
      </c>
      <c r="O406" s="12" t="s">
        <v>20</v>
      </c>
      <c r="P406" s="12">
        <v>8.57</v>
      </c>
      <c r="Q406" s="12" t="s">
        <v>24</v>
      </c>
    </row>
    <row r="407" spans="1:17" x14ac:dyDescent="0.3">
      <c r="A407" s="12" t="s">
        <v>885</v>
      </c>
      <c r="B407" s="12" t="s">
        <v>886</v>
      </c>
      <c r="C407" s="12" t="s">
        <v>19</v>
      </c>
      <c r="D407" s="12">
        <v>23</v>
      </c>
      <c r="E407" s="12" t="s">
        <v>55</v>
      </c>
      <c r="F407" s="12" t="s">
        <v>14</v>
      </c>
      <c r="G407" s="12" t="s">
        <v>85</v>
      </c>
      <c r="H407" s="12" t="s">
        <v>62</v>
      </c>
      <c r="I407" s="12">
        <v>1</v>
      </c>
      <c r="J407" s="12">
        <v>150144</v>
      </c>
      <c r="K407" s="12">
        <v>77.12</v>
      </c>
      <c r="L407" s="12">
        <v>6</v>
      </c>
      <c r="M407" s="12">
        <v>17</v>
      </c>
      <c r="N407" s="12">
        <v>108</v>
      </c>
      <c r="O407" s="12" t="s">
        <v>22</v>
      </c>
      <c r="P407" s="12">
        <v>6.62</v>
      </c>
      <c r="Q407" s="12" t="s">
        <v>23</v>
      </c>
    </row>
    <row r="408" spans="1:17" x14ac:dyDescent="0.3">
      <c r="A408" s="12" t="s">
        <v>887</v>
      </c>
      <c r="B408" s="12" t="s">
        <v>888</v>
      </c>
      <c r="C408" s="12" t="s">
        <v>19</v>
      </c>
      <c r="D408" s="12">
        <v>33</v>
      </c>
      <c r="E408" s="12" t="s">
        <v>65</v>
      </c>
      <c r="F408" s="12" t="s">
        <v>13</v>
      </c>
      <c r="G408" s="12" t="s">
        <v>107</v>
      </c>
      <c r="H408" s="12" t="s">
        <v>62</v>
      </c>
      <c r="I408" s="12">
        <v>4</v>
      </c>
      <c r="J408" s="12">
        <v>77058</v>
      </c>
      <c r="K408" s="12">
        <v>97.89</v>
      </c>
      <c r="L408" s="12">
        <v>3</v>
      </c>
      <c r="M408" s="12">
        <v>34</v>
      </c>
      <c r="N408" s="12">
        <v>57</v>
      </c>
      <c r="O408" s="12" t="s">
        <v>22</v>
      </c>
      <c r="P408" s="12">
        <v>7.27</v>
      </c>
      <c r="Q408" s="12" t="s">
        <v>23</v>
      </c>
    </row>
    <row r="409" spans="1:17" x14ac:dyDescent="0.3">
      <c r="A409" s="12" t="s">
        <v>889</v>
      </c>
      <c r="B409" s="12" t="s">
        <v>890</v>
      </c>
      <c r="C409" s="12" t="s">
        <v>19</v>
      </c>
      <c r="D409" s="12">
        <v>58</v>
      </c>
      <c r="E409" s="12" t="s">
        <v>60</v>
      </c>
      <c r="F409" s="12" t="s">
        <v>15</v>
      </c>
      <c r="G409" s="12" t="s">
        <v>130</v>
      </c>
      <c r="H409" s="12" t="s">
        <v>77</v>
      </c>
      <c r="I409" s="12">
        <v>0</v>
      </c>
      <c r="J409" s="12">
        <v>69958</v>
      </c>
      <c r="K409" s="12">
        <v>83.01</v>
      </c>
      <c r="L409" s="12">
        <v>1</v>
      </c>
      <c r="M409" s="12">
        <v>60</v>
      </c>
      <c r="N409" s="12">
        <v>36</v>
      </c>
      <c r="O409" s="12" t="s">
        <v>22</v>
      </c>
      <c r="P409" s="12">
        <v>3.82</v>
      </c>
      <c r="Q409" s="12" t="s">
        <v>23</v>
      </c>
    </row>
    <row r="410" spans="1:17" x14ac:dyDescent="0.3">
      <c r="A410" s="12" t="s">
        <v>891</v>
      </c>
      <c r="B410" s="12" t="s">
        <v>892</v>
      </c>
      <c r="C410" s="12" t="s">
        <v>18</v>
      </c>
      <c r="D410" s="12">
        <v>49</v>
      </c>
      <c r="E410" s="12" t="s">
        <v>91</v>
      </c>
      <c r="F410" s="12" t="s">
        <v>16</v>
      </c>
      <c r="G410" s="12" t="s">
        <v>181</v>
      </c>
      <c r="H410" s="12" t="s">
        <v>57</v>
      </c>
      <c r="I410" s="12">
        <v>18</v>
      </c>
      <c r="J410" s="12">
        <v>87773</v>
      </c>
      <c r="K410" s="12">
        <v>88.21</v>
      </c>
      <c r="L410" s="12">
        <v>15</v>
      </c>
      <c r="M410" s="12">
        <v>35</v>
      </c>
      <c r="N410" s="12">
        <v>110</v>
      </c>
      <c r="O410" s="12" t="s">
        <v>22</v>
      </c>
      <c r="P410" s="12">
        <v>9.39</v>
      </c>
      <c r="Q410" s="12" t="s">
        <v>24</v>
      </c>
    </row>
    <row r="411" spans="1:17" x14ac:dyDescent="0.3">
      <c r="A411" s="12" t="s">
        <v>893</v>
      </c>
      <c r="B411" s="12" t="s">
        <v>894</v>
      </c>
      <c r="C411" s="12" t="s">
        <v>19</v>
      </c>
      <c r="D411" s="12">
        <v>44</v>
      </c>
      <c r="E411" s="12" t="s">
        <v>55</v>
      </c>
      <c r="F411" s="12" t="s">
        <v>14</v>
      </c>
      <c r="G411" s="12" t="s">
        <v>85</v>
      </c>
      <c r="H411" s="12" t="s">
        <v>62</v>
      </c>
      <c r="I411" s="12">
        <v>21</v>
      </c>
      <c r="J411" s="12">
        <v>170293</v>
      </c>
      <c r="K411" s="12">
        <v>71.930000000000007</v>
      </c>
      <c r="L411" s="12">
        <v>3</v>
      </c>
      <c r="M411" s="12">
        <v>45</v>
      </c>
      <c r="N411" s="12">
        <v>25</v>
      </c>
      <c r="O411" s="12" t="s">
        <v>22</v>
      </c>
      <c r="P411" s="12">
        <v>6.31</v>
      </c>
      <c r="Q411" s="12" t="s">
        <v>23</v>
      </c>
    </row>
    <row r="412" spans="1:17" x14ac:dyDescent="0.3">
      <c r="A412" s="12" t="s">
        <v>895</v>
      </c>
      <c r="B412" s="12" t="s">
        <v>896</v>
      </c>
      <c r="C412" s="12" t="s">
        <v>18</v>
      </c>
      <c r="D412" s="12">
        <v>38</v>
      </c>
      <c r="E412" s="12" t="s">
        <v>55</v>
      </c>
      <c r="F412" s="12" t="s">
        <v>16</v>
      </c>
      <c r="G412" s="12" t="s">
        <v>181</v>
      </c>
      <c r="H412" s="12" t="s">
        <v>77</v>
      </c>
      <c r="I412" s="12">
        <v>14</v>
      </c>
      <c r="J412" s="12">
        <v>117974</v>
      </c>
      <c r="K412" s="12">
        <v>95.78</v>
      </c>
      <c r="L412" s="12">
        <v>4</v>
      </c>
      <c r="M412" s="12">
        <v>17</v>
      </c>
      <c r="N412" s="12">
        <v>50</v>
      </c>
      <c r="O412" s="12" t="s">
        <v>20</v>
      </c>
      <c r="P412" s="12">
        <v>7.53</v>
      </c>
      <c r="Q412" s="12" t="s">
        <v>23</v>
      </c>
    </row>
    <row r="413" spans="1:17" x14ac:dyDescent="0.3">
      <c r="A413" s="12" t="s">
        <v>897</v>
      </c>
      <c r="B413" s="12" t="s">
        <v>898</v>
      </c>
      <c r="C413" s="12" t="s">
        <v>18</v>
      </c>
      <c r="D413" s="12">
        <v>45</v>
      </c>
      <c r="E413" s="12" t="s">
        <v>65</v>
      </c>
      <c r="F413" s="12" t="s">
        <v>15</v>
      </c>
      <c r="G413" s="12" t="s">
        <v>73</v>
      </c>
      <c r="H413" s="12" t="s">
        <v>77</v>
      </c>
      <c r="I413" s="12">
        <v>4</v>
      </c>
      <c r="J413" s="12">
        <v>56203</v>
      </c>
      <c r="K413" s="12">
        <v>90.74</v>
      </c>
      <c r="L413" s="12">
        <v>9</v>
      </c>
      <c r="M413" s="12">
        <v>7</v>
      </c>
      <c r="N413" s="12">
        <v>18</v>
      </c>
      <c r="O413" s="12" t="s">
        <v>20</v>
      </c>
      <c r="P413" s="12">
        <v>5.86</v>
      </c>
      <c r="Q413" s="12" t="s">
        <v>23</v>
      </c>
    </row>
    <row r="414" spans="1:17" x14ac:dyDescent="0.3">
      <c r="A414" s="12" t="s">
        <v>899</v>
      </c>
      <c r="B414" s="12" t="s">
        <v>900</v>
      </c>
      <c r="C414" s="12" t="s">
        <v>19</v>
      </c>
      <c r="D414" s="12">
        <v>28</v>
      </c>
      <c r="E414" s="12" t="s">
        <v>60</v>
      </c>
      <c r="F414" s="12" t="s">
        <v>14</v>
      </c>
      <c r="G414" s="12" t="s">
        <v>85</v>
      </c>
      <c r="H414" s="12" t="s">
        <v>57</v>
      </c>
      <c r="I414" s="12">
        <v>6</v>
      </c>
      <c r="J414" s="12">
        <v>143373</v>
      </c>
      <c r="K414" s="12">
        <v>78.040000000000006</v>
      </c>
      <c r="L414" s="12">
        <v>17</v>
      </c>
      <c r="M414" s="12">
        <v>9</v>
      </c>
      <c r="N414" s="12">
        <v>64</v>
      </c>
      <c r="O414" s="12" t="s">
        <v>20</v>
      </c>
      <c r="P414" s="12">
        <v>8.14</v>
      </c>
      <c r="Q414" s="12" t="s">
        <v>23</v>
      </c>
    </row>
    <row r="415" spans="1:17" x14ac:dyDescent="0.3">
      <c r="A415" s="12" t="s">
        <v>901</v>
      </c>
      <c r="B415" s="12" t="s">
        <v>902</v>
      </c>
      <c r="C415" s="12" t="s">
        <v>18</v>
      </c>
      <c r="D415" s="12">
        <v>51</v>
      </c>
      <c r="E415" s="12" t="s">
        <v>69</v>
      </c>
      <c r="F415" s="12" t="s">
        <v>12</v>
      </c>
      <c r="G415" s="12" t="s">
        <v>119</v>
      </c>
      <c r="H415" s="12" t="s">
        <v>62</v>
      </c>
      <c r="I415" s="12">
        <v>10</v>
      </c>
      <c r="J415" s="12">
        <v>150683</v>
      </c>
      <c r="K415" s="12">
        <v>73.959999999999994</v>
      </c>
      <c r="L415" s="12">
        <v>3</v>
      </c>
      <c r="M415" s="12">
        <v>53</v>
      </c>
      <c r="N415" s="12">
        <v>67</v>
      </c>
      <c r="O415" s="12" t="s">
        <v>20</v>
      </c>
      <c r="P415" s="12">
        <v>5.62</v>
      </c>
      <c r="Q415" s="12" t="s">
        <v>23</v>
      </c>
    </row>
    <row r="416" spans="1:17" x14ac:dyDescent="0.3">
      <c r="A416" s="12" t="s">
        <v>903</v>
      </c>
      <c r="B416" s="12" t="s">
        <v>904</v>
      </c>
      <c r="C416" s="12" t="s">
        <v>19</v>
      </c>
      <c r="D416" s="12">
        <v>23</v>
      </c>
      <c r="E416" s="12" t="s">
        <v>80</v>
      </c>
      <c r="F416" s="12" t="s">
        <v>16</v>
      </c>
      <c r="G416" s="12" t="s">
        <v>271</v>
      </c>
      <c r="H416" s="12" t="s">
        <v>86</v>
      </c>
      <c r="I416" s="12">
        <v>1</v>
      </c>
      <c r="J416" s="12">
        <v>44597</v>
      </c>
      <c r="K416" s="12">
        <v>83.56</v>
      </c>
      <c r="L416" s="12">
        <v>13</v>
      </c>
      <c r="M416" s="12">
        <v>32</v>
      </c>
      <c r="N416" s="12">
        <v>107</v>
      </c>
      <c r="O416" s="12" t="s">
        <v>21</v>
      </c>
      <c r="P416" s="12">
        <v>8.4700000000000006</v>
      </c>
      <c r="Q416" s="12" t="s">
        <v>23</v>
      </c>
    </row>
    <row r="417" spans="1:17" x14ac:dyDescent="0.3">
      <c r="A417" s="12" t="s">
        <v>905</v>
      </c>
      <c r="B417" s="12" t="s">
        <v>906</v>
      </c>
      <c r="C417" s="12" t="s">
        <v>19</v>
      </c>
      <c r="D417" s="12">
        <v>35</v>
      </c>
      <c r="E417" s="12" t="s">
        <v>65</v>
      </c>
      <c r="F417" s="12" t="s">
        <v>12</v>
      </c>
      <c r="G417" s="12" t="s">
        <v>92</v>
      </c>
      <c r="H417" s="12" t="s">
        <v>62</v>
      </c>
      <c r="I417" s="12">
        <v>6</v>
      </c>
      <c r="J417" s="12">
        <v>119491</v>
      </c>
      <c r="K417" s="12">
        <v>67.150000000000006</v>
      </c>
      <c r="L417" s="12">
        <v>17</v>
      </c>
      <c r="M417" s="12">
        <v>37</v>
      </c>
      <c r="N417" s="12">
        <v>105</v>
      </c>
      <c r="O417" s="12" t="s">
        <v>22</v>
      </c>
      <c r="P417" s="12">
        <v>7.58</v>
      </c>
      <c r="Q417" s="12" t="s">
        <v>23</v>
      </c>
    </row>
    <row r="418" spans="1:17" x14ac:dyDescent="0.3">
      <c r="A418" s="12" t="s">
        <v>907</v>
      </c>
      <c r="B418" s="12" t="s">
        <v>908</v>
      </c>
      <c r="C418" s="12" t="s">
        <v>19</v>
      </c>
      <c r="D418" s="12">
        <v>25</v>
      </c>
      <c r="E418" s="12" t="s">
        <v>69</v>
      </c>
      <c r="F418" s="12" t="s">
        <v>14</v>
      </c>
      <c r="G418" s="12" t="s">
        <v>110</v>
      </c>
      <c r="H418" s="12" t="s">
        <v>62</v>
      </c>
      <c r="I418" s="12">
        <v>1</v>
      </c>
      <c r="J418" s="12">
        <v>93354</v>
      </c>
      <c r="K418" s="12">
        <v>98.57</v>
      </c>
      <c r="L418" s="12">
        <v>12</v>
      </c>
      <c r="M418" s="12">
        <v>52</v>
      </c>
      <c r="N418" s="12">
        <v>40</v>
      </c>
      <c r="O418" s="12" t="s">
        <v>20</v>
      </c>
      <c r="P418" s="12">
        <v>6.7</v>
      </c>
      <c r="Q418" s="12" t="s">
        <v>23</v>
      </c>
    </row>
    <row r="419" spans="1:17" x14ac:dyDescent="0.3">
      <c r="A419" s="12" t="s">
        <v>909</v>
      </c>
      <c r="B419" s="12" t="s">
        <v>910</v>
      </c>
      <c r="C419" s="12" t="s">
        <v>18</v>
      </c>
      <c r="D419" s="12">
        <v>49</v>
      </c>
      <c r="E419" s="12" t="s">
        <v>65</v>
      </c>
      <c r="F419" s="12" t="s">
        <v>12</v>
      </c>
      <c r="G419" s="12" t="s">
        <v>92</v>
      </c>
      <c r="H419" s="12" t="s">
        <v>77</v>
      </c>
      <c r="I419" s="12">
        <v>4</v>
      </c>
      <c r="J419" s="12">
        <v>101486</v>
      </c>
      <c r="K419" s="12">
        <v>74.95</v>
      </c>
      <c r="L419" s="12">
        <v>6</v>
      </c>
      <c r="M419" s="12">
        <v>55</v>
      </c>
      <c r="N419" s="12">
        <v>25</v>
      </c>
      <c r="O419" s="12" t="s">
        <v>20</v>
      </c>
      <c r="P419" s="12">
        <v>5.0599999999999996</v>
      </c>
      <c r="Q419" s="12" t="s">
        <v>23</v>
      </c>
    </row>
    <row r="420" spans="1:17" x14ac:dyDescent="0.3">
      <c r="A420" s="12" t="s">
        <v>911</v>
      </c>
      <c r="B420" s="12" t="s">
        <v>912</v>
      </c>
      <c r="C420" s="12" t="s">
        <v>19</v>
      </c>
      <c r="D420" s="12">
        <v>36</v>
      </c>
      <c r="E420" s="12" t="s">
        <v>65</v>
      </c>
      <c r="F420" s="12" t="s">
        <v>13</v>
      </c>
      <c r="G420" s="12" t="s">
        <v>66</v>
      </c>
      <c r="H420" s="12" t="s">
        <v>57</v>
      </c>
      <c r="I420" s="12">
        <v>2</v>
      </c>
      <c r="J420" s="12">
        <v>95792</v>
      </c>
      <c r="K420" s="12">
        <v>82.66</v>
      </c>
      <c r="L420" s="12">
        <v>2</v>
      </c>
      <c r="M420" s="12">
        <v>27</v>
      </c>
      <c r="N420" s="12">
        <v>36</v>
      </c>
      <c r="O420" s="12" t="s">
        <v>22</v>
      </c>
      <c r="P420" s="12">
        <v>5.83</v>
      </c>
      <c r="Q420" s="12" t="s">
        <v>23</v>
      </c>
    </row>
    <row r="421" spans="1:17" x14ac:dyDescent="0.3">
      <c r="A421" s="12" t="s">
        <v>913</v>
      </c>
      <c r="B421" s="12" t="s">
        <v>914</v>
      </c>
      <c r="C421" s="12" t="s">
        <v>18</v>
      </c>
      <c r="D421" s="12">
        <v>52</v>
      </c>
      <c r="E421" s="12" t="s">
        <v>80</v>
      </c>
      <c r="F421" s="12" t="s">
        <v>13</v>
      </c>
      <c r="G421" s="12" t="s">
        <v>66</v>
      </c>
      <c r="H421" s="12" t="s">
        <v>62</v>
      </c>
      <c r="I421" s="12">
        <v>28</v>
      </c>
      <c r="J421" s="12">
        <v>74552</v>
      </c>
      <c r="K421" s="12">
        <v>72.03</v>
      </c>
      <c r="L421" s="12">
        <v>4</v>
      </c>
      <c r="M421" s="12">
        <v>49</v>
      </c>
      <c r="N421" s="12">
        <v>99</v>
      </c>
      <c r="O421" s="12" t="s">
        <v>22</v>
      </c>
      <c r="P421" s="12">
        <v>7.53</v>
      </c>
      <c r="Q421" s="12" t="s">
        <v>23</v>
      </c>
    </row>
    <row r="422" spans="1:17" x14ac:dyDescent="0.3">
      <c r="A422" s="12" t="s">
        <v>915</v>
      </c>
      <c r="B422" s="12" t="s">
        <v>5</v>
      </c>
      <c r="C422" s="12" t="s">
        <v>18</v>
      </c>
      <c r="D422" s="12">
        <v>41</v>
      </c>
      <c r="E422" s="12" t="s">
        <v>91</v>
      </c>
      <c r="F422" s="12" t="s">
        <v>16</v>
      </c>
      <c r="G422" s="12" t="s">
        <v>181</v>
      </c>
      <c r="H422" s="12" t="s">
        <v>62</v>
      </c>
      <c r="I422" s="12">
        <v>2</v>
      </c>
      <c r="J422" s="12">
        <v>35474</v>
      </c>
      <c r="K422" s="12">
        <v>84.63</v>
      </c>
      <c r="L422" s="12">
        <v>5</v>
      </c>
      <c r="M422" s="12">
        <v>52</v>
      </c>
      <c r="N422" s="12">
        <v>47</v>
      </c>
      <c r="O422" s="12" t="s">
        <v>20</v>
      </c>
      <c r="P422" s="12">
        <v>6.62</v>
      </c>
      <c r="Q422" s="12" t="s">
        <v>23</v>
      </c>
    </row>
    <row r="423" spans="1:17" x14ac:dyDescent="0.3">
      <c r="A423" s="12" t="s">
        <v>916</v>
      </c>
      <c r="B423" s="12" t="s">
        <v>917</v>
      </c>
      <c r="C423" s="12" t="s">
        <v>18</v>
      </c>
      <c r="D423" s="12">
        <v>57</v>
      </c>
      <c r="E423" s="12" t="s">
        <v>60</v>
      </c>
      <c r="F423" s="12" t="s">
        <v>16</v>
      </c>
      <c r="G423" s="12" t="s">
        <v>181</v>
      </c>
      <c r="H423" s="12" t="s">
        <v>62</v>
      </c>
      <c r="I423" s="12">
        <v>14</v>
      </c>
      <c r="J423" s="12">
        <v>89664</v>
      </c>
      <c r="K423" s="12">
        <v>94.27</v>
      </c>
      <c r="L423" s="12">
        <v>20</v>
      </c>
      <c r="M423" s="12">
        <v>44</v>
      </c>
      <c r="N423" s="12">
        <v>105</v>
      </c>
      <c r="O423" s="12" t="s">
        <v>21</v>
      </c>
      <c r="P423" s="12">
        <v>10</v>
      </c>
      <c r="Q423" s="12" t="s">
        <v>24</v>
      </c>
    </row>
    <row r="424" spans="1:17" x14ac:dyDescent="0.3">
      <c r="A424" s="12" t="s">
        <v>918</v>
      </c>
      <c r="B424" s="12" t="s">
        <v>919</v>
      </c>
      <c r="C424" s="12" t="s">
        <v>18</v>
      </c>
      <c r="D424" s="12">
        <v>23</v>
      </c>
      <c r="E424" s="12" t="s">
        <v>65</v>
      </c>
      <c r="F424" s="12" t="s">
        <v>12</v>
      </c>
      <c r="G424" s="12" t="s">
        <v>119</v>
      </c>
      <c r="H424" s="12" t="s">
        <v>62</v>
      </c>
      <c r="I424" s="12">
        <v>1</v>
      </c>
      <c r="J424" s="12">
        <v>109094</v>
      </c>
      <c r="K424" s="12">
        <v>95.14</v>
      </c>
      <c r="L424" s="12">
        <v>17</v>
      </c>
      <c r="M424" s="12">
        <v>36</v>
      </c>
      <c r="N424" s="12">
        <v>82</v>
      </c>
      <c r="O424" s="12" t="s">
        <v>20</v>
      </c>
      <c r="P424" s="12">
        <v>9.2799999999999994</v>
      </c>
      <c r="Q424" s="12" t="s">
        <v>23</v>
      </c>
    </row>
    <row r="425" spans="1:17" x14ac:dyDescent="0.3">
      <c r="A425" s="12" t="s">
        <v>920</v>
      </c>
      <c r="B425" s="12" t="s">
        <v>921</v>
      </c>
      <c r="C425" s="12" t="s">
        <v>18</v>
      </c>
      <c r="D425" s="12">
        <v>46</v>
      </c>
      <c r="E425" s="12" t="s">
        <v>80</v>
      </c>
      <c r="F425" s="12" t="s">
        <v>16</v>
      </c>
      <c r="G425" s="12" t="s">
        <v>181</v>
      </c>
      <c r="H425" s="12" t="s">
        <v>57</v>
      </c>
      <c r="I425" s="12">
        <v>5</v>
      </c>
      <c r="J425" s="12">
        <v>81393</v>
      </c>
      <c r="K425" s="12">
        <v>68.290000000000006</v>
      </c>
      <c r="L425" s="12">
        <v>4</v>
      </c>
      <c r="M425" s="12">
        <v>33</v>
      </c>
      <c r="N425" s="12">
        <v>58</v>
      </c>
      <c r="O425" s="12" t="s">
        <v>20</v>
      </c>
      <c r="P425" s="12">
        <v>5.91</v>
      </c>
      <c r="Q425" s="12" t="s">
        <v>23</v>
      </c>
    </row>
    <row r="426" spans="1:17" x14ac:dyDescent="0.3">
      <c r="A426" s="12" t="s">
        <v>922</v>
      </c>
      <c r="B426" s="12" t="s">
        <v>923</v>
      </c>
      <c r="C426" s="12" t="s">
        <v>18</v>
      </c>
      <c r="D426" s="12">
        <v>53</v>
      </c>
      <c r="E426" s="12" t="s">
        <v>60</v>
      </c>
      <c r="F426" s="12" t="s">
        <v>17</v>
      </c>
      <c r="G426" s="12" t="s">
        <v>135</v>
      </c>
      <c r="H426" s="12" t="s">
        <v>77</v>
      </c>
      <c r="I426" s="12">
        <v>14</v>
      </c>
      <c r="J426" s="12">
        <v>137753</v>
      </c>
      <c r="K426" s="12">
        <v>77.28</v>
      </c>
      <c r="L426" s="12">
        <v>12</v>
      </c>
      <c r="M426" s="12">
        <v>58</v>
      </c>
      <c r="N426" s="12">
        <v>22</v>
      </c>
      <c r="O426" s="12" t="s">
        <v>22</v>
      </c>
      <c r="P426" s="12">
        <v>7.3</v>
      </c>
      <c r="Q426" s="12" t="s">
        <v>23</v>
      </c>
    </row>
    <row r="427" spans="1:17" x14ac:dyDescent="0.3">
      <c r="A427" s="12" t="s">
        <v>924</v>
      </c>
      <c r="B427" s="12" t="s">
        <v>925</v>
      </c>
      <c r="C427" s="12" t="s">
        <v>18</v>
      </c>
      <c r="D427" s="12">
        <v>22</v>
      </c>
      <c r="E427" s="12" t="s">
        <v>60</v>
      </c>
      <c r="F427" s="12" t="s">
        <v>15</v>
      </c>
      <c r="G427" s="12" t="s">
        <v>73</v>
      </c>
      <c r="H427" s="12" t="s">
        <v>62</v>
      </c>
      <c r="I427" s="12">
        <v>0</v>
      </c>
      <c r="J427" s="12">
        <v>61718</v>
      </c>
      <c r="K427" s="12">
        <v>79.73</v>
      </c>
      <c r="L427" s="12">
        <v>20</v>
      </c>
      <c r="M427" s="12">
        <v>6</v>
      </c>
      <c r="N427" s="12">
        <v>19</v>
      </c>
      <c r="O427" s="12" t="s">
        <v>21</v>
      </c>
      <c r="P427" s="12">
        <v>8.2799999999999994</v>
      </c>
      <c r="Q427" s="12" t="s">
        <v>23</v>
      </c>
    </row>
    <row r="428" spans="1:17" x14ac:dyDescent="0.3">
      <c r="A428" s="12" t="s">
        <v>926</v>
      </c>
      <c r="B428" s="12" t="s">
        <v>927</v>
      </c>
      <c r="C428" s="12" t="s">
        <v>18</v>
      </c>
      <c r="D428" s="12">
        <v>34</v>
      </c>
      <c r="E428" s="12" t="s">
        <v>69</v>
      </c>
      <c r="F428" s="12" t="s">
        <v>13</v>
      </c>
      <c r="G428" s="12" t="s">
        <v>56</v>
      </c>
      <c r="H428" s="12" t="s">
        <v>86</v>
      </c>
      <c r="I428" s="12">
        <v>10</v>
      </c>
      <c r="J428" s="12">
        <v>69800</v>
      </c>
      <c r="K428" s="12">
        <v>76</v>
      </c>
      <c r="L428" s="12">
        <v>18</v>
      </c>
      <c r="M428" s="12">
        <v>15</v>
      </c>
      <c r="N428" s="12">
        <v>110</v>
      </c>
      <c r="O428" s="12" t="s">
        <v>21</v>
      </c>
      <c r="P428" s="12">
        <v>9.5399999999999991</v>
      </c>
      <c r="Q428" s="12" t="s">
        <v>24</v>
      </c>
    </row>
    <row r="429" spans="1:17" x14ac:dyDescent="0.3">
      <c r="A429" s="12" t="s">
        <v>928</v>
      </c>
      <c r="B429" s="12" t="s">
        <v>929</v>
      </c>
      <c r="C429" s="12" t="s">
        <v>18</v>
      </c>
      <c r="D429" s="12">
        <v>36</v>
      </c>
      <c r="E429" s="12" t="s">
        <v>65</v>
      </c>
      <c r="F429" s="12" t="s">
        <v>13</v>
      </c>
      <c r="G429" s="12" t="s">
        <v>107</v>
      </c>
      <c r="H429" s="12" t="s">
        <v>62</v>
      </c>
      <c r="I429" s="12">
        <v>9</v>
      </c>
      <c r="J429" s="12">
        <v>92428</v>
      </c>
      <c r="K429" s="12">
        <v>96.06</v>
      </c>
      <c r="L429" s="12">
        <v>8</v>
      </c>
      <c r="M429" s="12">
        <v>16</v>
      </c>
      <c r="N429" s="12">
        <v>99</v>
      </c>
      <c r="O429" s="12" t="s">
        <v>21</v>
      </c>
      <c r="P429" s="12">
        <v>8.2899999999999991</v>
      </c>
      <c r="Q429" s="12" t="s">
        <v>23</v>
      </c>
    </row>
    <row r="430" spans="1:17" x14ac:dyDescent="0.3">
      <c r="A430" s="12" t="s">
        <v>930</v>
      </c>
      <c r="B430" s="12" t="s">
        <v>931</v>
      </c>
      <c r="C430" s="12" t="s">
        <v>18</v>
      </c>
      <c r="D430" s="12">
        <v>25</v>
      </c>
      <c r="E430" s="12" t="s">
        <v>69</v>
      </c>
      <c r="F430" s="12" t="s">
        <v>16</v>
      </c>
      <c r="G430" s="12" t="s">
        <v>76</v>
      </c>
      <c r="H430" s="12" t="s">
        <v>57</v>
      </c>
      <c r="I430" s="12">
        <v>3</v>
      </c>
      <c r="J430" s="12">
        <v>56140</v>
      </c>
      <c r="K430" s="12">
        <v>79.5</v>
      </c>
      <c r="L430" s="12">
        <v>6</v>
      </c>
      <c r="M430" s="12">
        <v>35</v>
      </c>
      <c r="N430" s="12">
        <v>78</v>
      </c>
      <c r="O430" s="12" t="s">
        <v>22</v>
      </c>
      <c r="P430" s="12">
        <v>6.91</v>
      </c>
      <c r="Q430" s="12" t="s">
        <v>23</v>
      </c>
    </row>
    <row r="431" spans="1:17" x14ac:dyDescent="0.3">
      <c r="A431" s="12" t="s">
        <v>932</v>
      </c>
      <c r="B431" s="12" t="s">
        <v>933</v>
      </c>
      <c r="C431" s="12" t="s">
        <v>19</v>
      </c>
      <c r="D431" s="12">
        <v>30</v>
      </c>
      <c r="E431" s="12" t="s">
        <v>80</v>
      </c>
      <c r="F431" s="12" t="s">
        <v>15</v>
      </c>
      <c r="G431" s="12" t="s">
        <v>73</v>
      </c>
      <c r="H431" s="12" t="s">
        <v>86</v>
      </c>
      <c r="I431" s="12">
        <v>7</v>
      </c>
      <c r="J431" s="12">
        <v>36277</v>
      </c>
      <c r="K431" s="12">
        <v>83.15</v>
      </c>
      <c r="L431" s="12">
        <v>16</v>
      </c>
      <c r="M431" s="12">
        <v>56</v>
      </c>
      <c r="N431" s="12">
        <v>78</v>
      </c>
      <c r="O431" s="12" t="s">
        <v>22</v>
      </c>
      <c r="P431" s="12">
        <v>7.28</v>
      </c>
      <c r="Q431" s="12" t="s">
        <v>23</v>
      </c>
    </row>
    <row r="432" spans="1:17" x14ac:dyDescent="0.3">
      <c r="A432" s="12" t="s">
        <v>934</v>
      </c>
      <c r="B432" s="12" t="s">
        <v>935</v>
      </c>
      <c r="C432" s="12" t="s">
        <v>19</v>
      </c>
      <c r="D432" s="12">
        <v>56</v>
      </c>
      <c r="E432" s="12" t="s">
        <v>80</v>
      </c>
      <c r="F432" s="12" t="s">
        <v>17</v>
      </c>
      <c r="G432" s="12" t="s">
        <v>135</v>
      </c>
      <c r="H432" s="12" t="s">
        <v>77</v>
      </c>
      <c r="I432" s="12">
        <v>0</v>
      </c>
      <c r="J432" s="12">
        <v>53634</v>
      </c>
      <c r="K432" s="12">
        <v>96.88</v>
      </c>
      <c r="L432" s="12">
        <v>15</v>
      </c>
      <c r="M432" s="12">
        <v>46</v>
      </c>
      <c r="N432" s="12">
        <v>88</v>
      </c>
      <c r="O432" s="12" t="s">
        <v>21</v>
      </c>
      <c r="P432" s="12">
        <v>8.49</v>
      </c>
      <c r="Q432" s="12" t="s">
        <v>23</v>
      </c>
    </row>
    <row r="433" spans="1:17" x14ac:dyDescent="0.3">
      <c r="A433" s="12" t="s">
        <v>936</v>
      </c>
      <c r="B433" s="12" t="s">
        <v>937</v>
      </c>
      <c r="C433" s="12" t="s">
        <v>18</v>
      </c>
      <c r="D433" s="12">
        <v>43</v>
      </c>
      <c r="E433" s="12" t="s">
        <v>60</v>
      </c>
      <c r="F433" s="12" t="s">
        <v>13</v>
      </c>
      <c r="G433" s="12" t="s">
        <v>66</v>
      </c>
      <c r="H433" s="12" t="s">
        <v>86</v>
      </c>
      <c r="I433" s="12">
        <v>13</v>
      </c>
      <c r="J433" s="12">
        <v>71122</v>
      </c>
      <c r="K433" s="12">
        <v>70.680000000000007</v>
      </c>
      <c r="L433" s="12">
        <v>6</v>
      </c>
      <c r="M433" s="12">
        <v>9</v>
      </c>
      <c r="N433" s="12">
        <v>77</v>
      </c>
      <c r="O433" s="12" t="s">
        <v>20</v>
      </c>
      <c r="P433" s="12">
        <v>6.45</v>
      </c>
      <c r="Q433" s="12" t="s">
        <v>23</v>
      </c>
    </row>
    <row r="434" spans="1:17" x14ac:dyDescent="0.3">
      <c r="A434" s="12" t="s">
        <v>938</v>
      </c>
      <c r="B434" s="12" t="s">
        <v>939</v>
      </c>
      <c r="C434" s="12" t="s">
        <v>18</v>
      </c>
      <c r="D434" s="12">
        <v>24</v>
      </c>
      <c r="E434" s="12" t="s">
        <v>55</v>
      </c>
      <c r="F434" s="12" t="s">
        <v>17</v>
      </c>
      <c r="G434" s="12" t="s">
        <v>135</v>
      </c>
      <c r="H434" s="12" t="s">
        <v>62</v>
      </c>
      <c r="I434" s="12">
        <v>0</v>
      </c>
      <c r="J434" s="12">
        <v>55418</v>
      </c>
      <c r="K434" s="12">
        <v>91.69</v>
      </c>
      <c r="L434" s="12">
        <v>1</v>
      </c>
      <c r="M434" s="12">
        <v>0</v>
      </c>
      <c r="N434" s="12">
        <v>89</v>
      </c>
      <c r="O434" s="12" t="s">
        <v>22</v>
      </c>
      <c r="P434" s="12">
        <v>7.26</v>
      </c>
      <c r="Q434" s="12" t="s">
        <v>23</v>
      </c>
    </row>
    <row r="435" spans="1:17" x14ac:dyDescent="0.3">
      <c r="A435" s="12" t="s">
        <v>940</v>
      </c>
      <c r="B435" s="12" t="s">
        <v>941</v>
      </c>
      <c r="C435" s="12" t="s">
        <v>18</v>
      </c>
      <c r="D435" s="12">
        <v>22</v>
      </c>
      <c r="E435" s="12" t="s">
        <v>55</v>
      </c>
      <c r="F435" s="12" t="s">
        <v>17</v>
      </c>
      <c r="G435" s="12" t="s">
        <v>135</v>
      </c>
      <c r="H435" s="12" t="s">
        <v>86</v>
      </c>
      <c r="I435" s="12">
        <v>0</v>
      </c>
      <c r="J435" s="12">
        <v>94570</v>
      </c>
      <c r="K435" s="12">
        <v>73.66</v>
      </c>
      <c r="L435" s="12">
        <v>18</v>
      </c>
      <c r="M435" s="12">
        <v>39</v>
      </c>
      <c r="N435" s="12">
        <v>19</v>
      </c>
      <c r="O435" s="12" t="s">
        <v>21</v>
      </c>
      <c r="P435" s="12">
        <v>6.77</v>
      </c>
      <c r="Q435" s="12" t="s">
        <v>23</v>
      </c>
    </row>
    <row r="436" spans="1:17" x14ac:dyDescent="0.3">
      <c r="A436" s="12" t="s">
        <v>942</v>
      </c>
      <c r="B436" s="12" t="s">
        <v>943</v>
      </c>
      <c r="C436" s="12" t="s">
        <v>18</v>
      </c>
      <c r="D436" s="12">
        <v>25</v>
      </c>
      <c r="E436" s="12" t="s">
        <v>60</v>
      </c>
      <c r="F436" s="12" t="s">
        <v>12</v>
      </c>
      <c r="G436" s="12" t="s">
        <v>92</v>
      </c>
      <c r="H436" s="12" t="s">
        <v>86</v>
      </c>
      <c r="I436" s="12">
        <v>3</v>
      </c>
      <c r="J436" s="12">
        <v>51539</v>
      </c>
      <c r="K436" s="12">
        <v>77.25</v>
      </c>
      <c r="L436" s="12">
        <v>17</v>
      </c>
      <c r="M436" s="12">
        <v>60</v>
      </c>
      <c r="N436" s="12">
        <v>75</v>
      </c>
      <c r="O436" s="12" t="s">
        <v>21</v>
      </c>
      <c r="P436" s="12">
        <v>6.71</v>
      </c>
      <c r="Q436" s="12" t="s">
        <v>23</v>
      </c>
    </row>
    <row r="437" spans="1:17" x14ac:dyDescent="0.3">
      <c r="A437" s="12" t="s">
        <v>944</v>
      </c>
      <c r="B437" s="12" t="s">
        <v>945</v>
      </c>
      <c r="C437" s="12" t="s">
        <v>18</v>
      </c>
      <c r="D437" s="12">
        <v>57</v>
      </c>
      <c r="E437" s="12" t="s">
        <v>69</v>
      </c>
      <c r="F437" s="12" t="s">
        <v>12</v>
      </c>
      <c r="G437" s="12" t="s">
        <v>92</v>
      </c>
      <c r="H437" s="12" t="s">
        <v>86</v>
      </c>
      <c r="I437" s="12">
        <v>9</v>
      </c>
      <c r="J437" s="12">
        <v>141624</v>
      </c>
      <c r="K437" s="12">
        <v>85.91</v>
      </c>
      <c r="L437" s="12">
        <v>7</v>
      </c>
      <c r="M437" s="12">
        <v>41</v>
      </c>
      <c r="N437" s="12">
        <v>103</v>
      </c>
      <c r="O437" s="12" t="s">
        <v>22</v>
      </c>
      <c r="P437" s="12">
        <v>7.12</v>
      </c>
      <c r="Q437" s="12" t="s">
        <v>23</v>
      </c>
    </row>
    <row r="438" spans="1:17" x14ac:dyDescent="0.3">
      <c r="A438" s="12" t="s">
        <v>946</v>
      </c>
      <c r="B438" s="12" t="s">
        <v>947</v>
      </c>
      <c r="C438" s="12" t="s">
        <v>19</v>
      </c>
      <c r="D438" s="12">
        <v>47</v>
      </c>
      <c r="E438" s="12" t="s">
        <v>69</v>
      </c>
      <c r="F438" s="12" t="s">
        <v>16</v>
      </c>
      <c r="G438" s="12" t="s">
        <v>271</v>
      </c>
      <c r="H438" s="12" t="s">
        <v>62</v>
      </c>
      <c r="I438" s="12">
        <v>8</v>
      </c>
      <c r="J438" s="12">
        <v>112961</v>
      </c>
      <c r="K438" s="12">
        <v>98.38</v>
      </c>
      <c r="L438" s="12">
        <v>9</v>
      </c>
      <c r="M438" s="12">
        <v>41</v>
      </c>
      <c r="N438" s="12">
        <v>21</v>
      </c>
      <c r="O438" s="12" t="s">
        <v>22</v>
      </c>
      <c r="P438" s="12">
        <v>7.44</v>
      </c>
      <c r="Q438" s="12" t="s">
        <v>23</v>
      </c>
    </row>
    <row r="439" spans="1:17" x14ac:dyDescent="0.3">
      <c r="A439" s="12" t="s">
        <v>948</v>
      </c>
      <c r="B439" s="12" t="s">
        <v>949</v>
      </c>
      <c r="C439" s="12" t="s">
        <v>19</v>
      </c>
      <c r="D439" s="12">
        <v>58</v>
      </c>
      <c r="E439" s="12" t="s">
        <v>65</v>
      </c>
      <c r="F439" s="12" t="s">
        <v>13</v>
      </c>
      <c r="G439" s="12" t="s">
        <v>66</v>
      </c>
      <c r="H439" s="12" t="s">
        <v>86</v>
      </c>
      <c r="I439" s="12">
        <v>20</v>
      </c>
      <c r="J439" s="12">
        <v>76665</v>
      </c>
      <c r="K439" s="12">
        <v>74.06</v>
      </c>
      <c r="L439" s="12">
        <v>6</v>
      </c>
      <c r="M439" s="12">
        <v>56</v>
      </c>
      <c r="N439" s="12">
        <v>82</v>
      </c>
      <c r="O439" s="12" t="s">
        <v>20</v>
      </c>
      <c r="P439" s="12">
        <v>6.9</v>
      </c>
      <c r="Q439" s="12" t="s">
        <v>23</v>
      </c>
    </row>
    <row r="440" spans="1:17" x14ac:dyDescent="0.3">
      <c r="A440" s="12" t="s">
        <v>950</v>
      </c>
      <c r="B440" s="12" t="s">
        <v>951</v>
      </c>
      <c r="C440" s="12" t="s">
        <v>18</v>
      </c>
      <c r="D440" s="12">
        <v>52</v>
      </c>
      <c r="E440" s="12" t="s">
        <v>91</v>
      </c>
      <c r="F440" s="12" t="s">
        <v>15</v>
      </c>
      <c r="G440" s="12" t="s">
        <v>130</v>
      </c>
      <c r="H440" s="12" t="s">
        <v>62</v>
      </c>
      <c r="I440" s="12">
        <v>25</v>
      </c>
      <c r="J440" s="12">
        <v>140367</v>
      </c>
      <c r="K440" s="12">
        <v>71.42</v>
      </c>
      <c r="L440" s="12">
        <v>12</v>
      </c>
      <c r="M440" s="12">
        <v>2</v>
      </c>
      <c r="N440" s="12">
        <v>15</v>
      </c>
      <c r="O440" s="12" t="s">
        <v>20</v>
      </c>
      <c r="P440" s="12">
        <v>6.76</v>
      </c>
      <c r="Q440" s="12" t="s">
        <v>23</v>
      </c>
    </row>
    <row r="441" spans="1:17" x14ac:dyDescent="0.3">
      <c r="A441" s="12" t="s">
        <v>952</v>
      </c>
      <c r="B441" s="12" t="s">
        <v>953</v>
      </c>
      <c r="C441" s="12" t="s">
        <v>19</v>
      </c>
      <c r="D441" s="12">
        <v>52</v>
      </c>
      <c r="E441" s="12" t="s">
        <v>60</v>
      </c>
      <c r="F441" s="12" t="s">
        <v>13</v>
      </c>
      <c r="G441" s="12" t="s">
        <v>66</v>
      </c>
      <c r="H441" s="12" t="s">
        <v>86</v>
      </c>
      <c r="I441" s="12">
        <v>11</v>
      </c>
      <c r="J441" s="12">
        <v>58478</v>
      </c>
      <c r="K441" s="12">
        <v>82.21</v>
      </c>
      <c r="L441" s="12">
        <v>14</v>
      </c>
      <c r="M441" s="12">
        <v>29</v>
      </c>
      <c r="N441" s="12">
        <v>119</v>
      </c>
      <c r="O441" s="12" t="s">
        <v>21</v>
      </c>
      <c r="P441" s="12">
        <v>8.5</v>
      </c>
      <c r="Q441" s="12" t="s">
        <v>24</v>
      </c>
    </row>
    <row r="442" spans="1:17" x14ac:dyDescent="0.3">
      <c r="A442" s="12" t="s">
        <v>954</v>
      </c>
      <c r="B442" s="12" t="s">
        <v>955</v>
      </c>
      <c r="C442" s="12" t="s">
        <v>18</v>
      </c>
      <c r="D442" s="12">
        <v>37</v>
      </c>
      <c r="E442" s="12" t="s">
        <v>65</v>
      </c>
      <c r="F442" s="12" t="s">
        <v>17</v>
      </c>
      <c r="G442" s="12" t="s">
        <v>135</v>
      </c>
      <c r="H442" s="12" t="s">
        <v>86</v>
      </c>
      <c r="I442" s="12">
        <v>8</v>
      </c>
      <c r="J442" s="12">
        <v>104681</v>
      </c>
      <c r="K442" s="12">
        <v>70.14</v>
      </c>
      <c r="L442" s="12">
        <v>4</v>
      </c>
      <c r="M442" s="12">
        <v>9</v>
      </c>
      <c r="N442" s="12">
        <v>61</v>
      </c>
      <c r="O442" s="12" t="s">
        <v>22</v>
      </c>
      <c r="P442" s="12">
        <v>6.21</v>
      </c>
      <c r="Q442" s="12" t="s">
        <v>23</v>
      </c>
    </row>
    <row r="443" spans="1:17" x14ac:dyDescent="0.3">
      <c r="A443" s="12" t="s">
        <v>956</v>
      </c>
      <c r="B443" s="12" t="s">
        <v>957</v>
      </c>
      <c r="C443" s="12" t="s">
        <v>18</v>
      </c>
      <c r="D443" s="12">
        <v>38</v>
      </c>
      <c r="E443" s="12" t="s">
        <v>55</v>
      </c>
      <c r="F443" s="12" t="s">
        <v>17</v>
      </c>
      <c r="G443" s="12" t="s">
        <v>99</v>
      </c>
      <c r="H443" s="12" t="s">
        <v>62</v>
      </c>
      <c r="I443" s="12">
        <v>0</v>
      </c>
      <c r="J443" s="12">
        <v>45448</v>
      </c>
      <c r="K443" s="12">
        <v>81.28</v>
      </c>
      <c r="L443" s="12">
        <v>3</v>
      </c>
      <c r="M443" s="12">
        <v>19</v>
      </c>
      <c r="N443" s="12">
        <v>31</v>
      </c>
      <c r="O443" s="12" t="s">
        <v>22</v>
      </c>
      <c r="P443" s="12">
        <v>4.3899999999999997</v>
      </c>
      <c r="Q443" s="12" t="s">
        <v>23</v>
      </c>
    </row>
    <row r="444" spans="1:17" x14ac:dyDescent="0.3">
      <c r="A444" s="12" t="s">
        <v>958</v>
      </c>
      <c r="B444" s="12" t="s">
        <v>959</v>
      </c>
      <c r="C444" s="12" t="s">
        <v>19</v>
      </c>
      <c r="D444" s="12">
        <v>28</v>
      </c>
      <c r="E444" s="12" t="s">
        <v>69</v>
      </c>
      <c r="F444" s="12" t="s">
        <v>17</v>
      </c>
      <c r="G444" s="12" t="s">
        <v>135</v>
      </c>
      <c r="H444" s="12" t="s">
        <v>86</v>
      </c>
      <c r="I444" s="12">
        <v>2</v>
      </c>
      <c r="J444" s="12">
        <v>123257</v>
      </c>
      <c r="K444" s="12">
        <v>89.07</v>
      </c>
      <c r="L444" s="12">
        <v>20</v>
      </c>
      <c r="M444" s="12">
        <v>32</v>
      </c>
      <c r="N444" s="12">
        <v>28</v>
      </c>
      <c r="O444" s="12" t="s">
        <v>20</v>
      </c>
      <c r="P444" s="12">
        <v>7.73</v>
      </c>
      <c r="Q444" s="12" t="s">
        <v>23</v>
      </c>
    </row>
    <row r="445" spans="1:17" x14ac:dyDescent="0.3">
      <c r="A445" s="12" t="s">
        <v>960</v>
      </c>
      <c r="B445" s="12" t="s">
        <v>961</v>
      </c>
      <c r="C445" s="12" t="s">
        <v>18</v>
      </c>
      <c r="D445" s="12">
        <v>40</v>
      </c>
      <c r="E445" s="12" t="s">
        <v>65</v>
      </c>
      <c r="F445" s="12" t="s">
        <v>13</v>
      </c>
      <c r="G445" s="12" t="s">
        <v>107</v>
      </c>
      <c r="H445" s="12" t="s">
        <v>57</v>
      </c>
      <c r="I445" s="12">
        <v>8</v>
      </c>
      <c r="J445" s="12">
        <v>80293</v>
      </c>
      <c r="K445" s="12">
        <v>89.45</v>
      </c>
      <c r="L445" s="12">
        <v>14</v>
      </c>
      <c r="M445" s="12">
        <v>19</v>
      </c>
      <c r="N445" s="12">
        <v>88</v>
      </c>
      <c r="O445" s="12" t="s">
        <v>21</v>
      </c>
      <c r="P445" s="12">
        <v>9.49</v>
      </c>
      <c r="Q445" s="12" t="s">
        <v>24</v>
      </c>
    </row>
    <row r="446" spans="1:17" x14ac:dyDescent="0.3">
      <c r="A446" s="12" t="s">
        <v>962</v>
      </c>
      <c r="B446" s="12" t="s">
        <v>963</v>
      </c>
      <c r="C446" s="12" t="s">
        <v>19</v>
      </c>
      <c r="D446" s="12">
        <v>38</v>
      </c>
      <c r="E446" s="12" t="s">
        <v>55</v>
      </c>
      <c r="F446" s="12" t="s">
        <v>13</v>
      </c>
      <c r="G446" s="12" t="s">
        <v>107</v>
      </c>
      <c r="H446" s="12" t="s">
        <v>57</v>
      </c>
      <c r="I446" s="12">
        <v>16</v>
      </c>
      <c r="J446" s="12">
        <v>52054</v>
      </c>
      <c r="K446" s="12">
        <v>91.4</v>
      </c>
      <c r="L446" s="12">
        <v>19</v>
      </c>
      <c r="M446" s="12">
        <v>39</v>
      </c>
      <c r="N446" s="12">
        <v>46</v>
      </c>
      <c r="O446" s="12" t="s">
        <v>21</v>
      </c>
      <c r="P446" s="12">
        <v>9.3699999999999992</v>
      </c>
      <c r="Q446" s="12" t="s">
        <v>24</v>
      </c>
    </row>
    <row r="447" spans="1:17" x14ac:dyDescent="0.3">
      <c r="A447" s="12" t="s">
        <v>964</v>
      </c>
      <c r="B447" s="12" t="s">
        <v>965</v>
      </c>
      <c r="C447" s="12" t="s">
        <v>19</v>
      </c>
      <c r="D447" s="12">
        <v>58</v>
      </c>
      <c r="E447" s="12" t="s">
        <v>69</v>
      </c>
      <c r="F447" s="12" t="s">
        <v>15</v>
      </c>
      <c r="G447" s="12" t="s">
        <v>130</v>
      </c>
      <c r="H447" s="12" t="s">
        <v>86</v>
      </c>
      <c r="I447" s="12">
        <v>3</v>
      </c>
      <c r="J447" s="12">
        <v>149017</v>
      </c>
      <c r="K447" s="12">
        <v>93.79</v>
      </c>
      <c r="L447" s="12">
        <v>16</v>
      </c>
      <c r="M447" s="12">
        <v>46</v>
      </c>
      <c r="N447" s="12">
        <v>54</v>
      </c>
      <c r="O447" s="12" t="s">
        <v>22</v>
      </c>
      <c r="P447" s="12">
        <v>8.02</v>
      </c>
      <c r="Q447" s="12" t="s">
        <v>23</v>
      </c>
    </row>
    <row r="448" spans="1:17" x14ac:dyDescent="0.3">
      <c r="A448" s="12" t="s">
        <v>966</v>
      </c>
      <c r="B448" s="12" t="s">
        <v>967</v>
      </c>
      <c r="C448" s="12" t="s">
        <v>19</v>
      </c>
      <c r="D448" s="12">
        <v>37</v>
      </c>
      <c r="E448" s="12" t="s">
        <v>60</v>
      </c>
      <c r="F448" s="12" t="s">
        <v>12</v>
      </c>
      <c r="G448" s="12" t="s">
        <v>119</v>
      </c>
      <c r="H448" s="12" t="s">
        <v>77</v>
      </c>
      <c r="I448" s="12">
        <v>16</v>
      </c>
      <c r="J448" s="12">
        <v>152465</v>
      </c>
      <c r="K448" s="12">
        <v>94.61</v>
      </c>
      <c r="L448" s="12">
        <v>14</v>
      </c>
      <c r="M448" s="12">
        <v>30</v>
      </c>
      <c r="N448" s="12">
        <v>48</v>
      </c>
      <c r="O448" s="12" t="s">
        <v>20</v>
      </c>
      <c r="P448" s="12">
        <v>9.18</v>
      </c>
      <c r="Q448" s="12" t="s">
        <v>24</v>
      </c>
    </row>
    <row r="449" spans="1:17" x14ac:dyDescent="0.3">
      <c r="A449" s="12" t="s">
        <v>968</v>
      </c>
      <c r="B449" s="12" t="s">
        <v>969</v>
      </c>
      <c r="C449" s="12" t="s">
        <v>18</v>
      </c>
      <c r="D449" s="12">
        <v>48</v>
      </c>
      <c r="E449" s="12" t="s">
        <v>55</v>
      </c>
      <c r="F449" s="12" t="s">
        <v>17</v>
      </c>
      <c r="G449" s="12" t="s">
        <v>102</v>
      </c>
      <c r="H449" s="12" t="s">
        <v>57</v>
      </c>
      <c r="I449" s="12">
        <v>13</v>
      </c>
      <c r="J449" s="12">
        <v>72185</v>
      </c>
      <c r="K449" s="12">
        <v>95.39</v>
      </c>
      <c r="L449" s="12">
        <v>6</v>
      </c>
      <c r="M449" s="12">
        <v>21</v>
      </c>
      <c r="N449" s="12">
        <v>113</v>
      </c>
      <c r="O449" s="12" t="s">
        <v>20</v>
      </c>
      <c r="P449" s="12">
        <v>7.8</v>
      </c>
      <c r="Q449" s="12" t="s">
        <v>23</v>
      </c>
    </row>
    <row r="450" spans="1:17" x14ac:dyDescent="0.3">
      <c r="A450" s="12" t="s">
        <v>970</v>
      </c>
      <c r="B450" s="12" t="s">
        <v>971</v>
      </c>
      <c r="C450" s="12" t="s">
        <v>19</v>
      </c>
      <c r="D450" s="12">
        <v>37</v>
      </c>
      <c r="E450" s="12" t="s">
        <v>55</v>
      </c>
      <c r="F450" s="12" t="s">
        <v>15</v>
      </c>
      <c r="G450" s="12" t="s">
        <v>73</v>
      </c>
      <c r="H450" s="12" t="s">
        <v>86</v>
      </c>
      <c r="I450" s="12">
        <v>9</v>
      </c>
      <c r="J450" s="12">
        <v>139723</v>
      </c>
      <c r="K450" s="12">
        <v>70.36</v>
      </c>
      <c r="L450" s="12">
        <v>2</v>
      </c>
      <c r="M450" s="12">
        <v>3</v>
      </c>
      <c r="N450" s="12">
        <v>98</v>
      </c>
      <c r="O450" s="12" t="s">
        <v>22</v>
      </c>
      <c r="P450" s="12">
        <v>6.01</v>
      </c>
      <c r="Q450" s="12" t="s">
        <v>23</v>
      </c>
    </row>
    <row r="451" spans="1:17" x14ac:dyDescent="0.3">
      <c r="A451" s="12" t="s">
        <v>972</v>
      </c>
      <c r="B451" s="12" t="s">
        <v>973</v>
      </c>
      <c r="C451" s="12" t="s">
        <v>19</v>
      </c>
      <c r="D451" s="12">
        <v>53</v>
      </c>
      <c r="E451" s="12" t="s">
        <v>91</v>
      </c>
      <c r="F451" s="12" t="s">
        <v>16</v>
      </c>
      <c r="G451" s="12" t="s">
        <v>271</v>
      </c>
      <c r="H451" s="12" t="s">
        <v>57</v>
      </c>
      <c r="I451" s="12">
        <v>10</v>
      </c>
      <c r="J451" s="12">
        <v>43906</v>
      </c>
      <c r="K451" s="12">
        <v>92.91</v>
      </c>
      <c r="L451" s="12">
        <v>5</v>
      </c>
      <c r="M451" s="12">
        <v>55</v>
      </c>
      <c r="N451" s="12">
        <v>17</v>
      </c>
      <c r="O451" s="12" t="s">
        <v>20</v>
      </c>
      <c r="P451" s="12">
        <v>5.95</v>
      </c>
      <c r="Q451" s="12" t="s">
        <v>23</v>
      </c>
    </row>
    <row r="452" spans="1:17" x14ac:dyDescent="0.3">
      <c r="A452" s="12" t="s">
        <v>974</v>
      </c>
      <c r="B452" s="12" t="s">
        <v>975</v>
      </c>
      <c r="C452" s="12" t="s">
        <v>19</v>
      </c>
      <c r="D452" s="12">
        <v>38</v>
      </c>
      <c r="E452" s="12" t="s">
        <v>55</v>
      </c>
      <c r="F452" s="12" t="s">
        <v>13</v>
      </c>
      <c r="G452" s="12" t="s">
        <v>56</v>
      </c>
      <c r="H452" s="12" t="s">
        <v>57</v>
      </c>
      <c r="I452" s="12">
        <v>2</v>
      </c>
      <c r="J452" s="12">
        <v>94948</v>
      </c>
      <c r="K452" s="12">
        <v>99.14</v>
      </c>
      <c r="L452" s="12">
        <v>4</v>
      </c>
      <c r="M452" s="12">
        <v>59</v>
      </c>
      <c r="N452" s="12">
        <v>76</v>
      </c>
      <c r="O452" s="12" t="s">
        <v>20</v>
      </c>
      <c r="P452" s="12">
        <v>5.66</v>
      </c>
      <c r="Q452" s="12" t="s">
        <v>23</v>
      </c>
    </row>
    <row r="453" spans="1:17" x14ac:dyDescent="0.3">
      <c r="A453" s="12" t="s">
        <v>976</v>
      </c>
      <c r="B453" s="12" t="s">
        <v>977</v>
      </c>
      <c r="C453" s="12" t="s">
        <v>18</v>
      </c>
      <c r="D453" s="12">
        <v>28</v>
      </c>
      <c r="E453" s="12" t="s">
        <v>91</v>
      </c>
      <c r="F453" s="12" t="s">
        <v>13</v>
      </c>
      <c r="G453" s="12" t="s">
        <v>56</v>
      </c>
      <c r="H453" s="12" t="s">
        <v>57</v>
      </c>
      <c r="I453" s="12">
        <v>2</v>
      </c>
      <c r="J453" s="12">
        <v>64099</v>
      </c>
      <c r="K453" s="12">
        <v>97.67</v>
      </c>
      <c r="L453" s="12">
        <v>2</v>
      </c>
      <c r="M453" s="12">
        <v>50</v>
      </c>
      <c r="N453" s="12">
        <v>26</v>
      </c>
      <c r="O453" s="12" t="s">
        <v>22</v>
      </c>
      <c r="P453" s="12">
        <v>5.04</v>
      </c>
      <c r="Q453" s="12" t="s">
        <v>23</v>
      </c>
    </row>
    <row r="454" spans="1:17" x14ac:dyDescent="0.3">
      <c r="A454" s="12" t="s">
        <v>978</v>
      </c>
      <c r="B454" s="12" t="s">
        <v>979</v>
      </c>
      <c r="C454" s="12" t="s">
        <v>18</v>
      </c>
      <c r="D454" s="12">
        <v>22</v>
      </c>
      <c r="E454" s="12" t="s">
        <v>60</v>
      </c>
      <c r="F454" s="12" t="s">
        <v>16</v>
      </c>
      <c r="G454" s="12" t="s">
        <v>76</v>
      </c>
      <c r="H454" s="12" t="s">
        <v>86</v>
      </c>
      <c r="I454" s="12">
        <v>0</v>
      </c>
      <c r="J454" s="12">
        <v>109961</v>
      </c>
      <c r="K454" s="12">
        <v>94.4</v>
      </c>
      <c r="L454" s="12">
        <v>2</v>
      </c>
      <c r="M454" s="12">
        <v>53</v>
      </c>
      <c r="N454" s="12">
        <v>68</v>
      </c>
      <c r="O454" s="12" t="s">
        <v>20</v>
      </c>
      <c r="P454" s="12">
        <v>6.17</v>
      </c>
      <c r="Q454" s="12" t="s">
        <v>23</v>
      </c>
    </row>
    <row r="455" spans="1:17" x14ac:dyDescent="0.3">
      <c r="A455" s="12" t="s">
        <v>980</v>
      </c>
      <c r="B455" s="12" t="s">
        <v>981</v>
      </c>
      <c r="C455" s="12" t="s">
        <v>19</v>
      </c>
      <c r="D455" s="12">
        <v>46</v>
      </c>
      <c r="E455" s="12" t="s">
        <v>80</v>
      </c>
      <c r="F455" s="12" t="s">
        <v>17</v>
      </c>
      <c r="G455" s="12" t="s">
        <v>99</v>
      </c>
      <c r="H455" s="12" t="s">
        <v>62</v>
      </c>
      <c r="I455" s="12">
        <v>12</v>
      </c>
      <c r="J455" s="12">
        <v>125555</v>
      </c>
      <c r="K455" s="12">
        <v>85.48</v>
      </c>
      <c r="L455" s="12">
        <v>11</v>
      </c>
      <c r="M455" s="12">
        <v>42</v>
      </c>
      <c r="N455" s="12">
        <v>106</v>
      </c>
      <c r="O455" s="12" t="s">
        <v>21</v>
      </c>
      <c r="P455" s="12">
        <v>8.9600000000000009</v>
      </c>
      <c r="Q455" s="12" t="s">
        <v>24</v>
      </c>
    </row>
    <row r="456" spans="1:17" x14ac:dyDescent="0.3">
      <c r="A456" s="12" t="s">
        <v>982</v>
      </c>
      <c r="B456" s="12" t="s">
        <v>983</v>
      </c>
      <c r="C456" s="12" t="s">
        <v>18</v>
      </c>
      <c r="D456" s="12">
        <v>34</v>
      </c>
      <c r="E456" s="12" t="s">
        <v>80</v>
      </c>
      <c r="F456" s="12" t="s">
        <v>14</v>
      </c>
      <c r="G456" s="12" t="s">
        <v>70</v>
      </c>
      <c r="H456" s="12" t="s">
        <v>62</v>
      </c>
      <c r="I456" s="12">
        <v>5</v>
      </c>
      <c r="J456" s="12">
        <v>156095</v>
      </c>
      <c r="K456" s="12">
        <v>92.14</v>
      </c>
      <c r="L456" s="12">
        <v>14</v>
      </c>
      <c r="M456" s="12">
        <v>3</v>
      </c>
      <c r="N456" s="12">
        <v>82</v>
      </c>
      <c r="O456" s="12" t="s">
        <v>20</v>
      </c>
      <c r="P456" s="12">
        <v>8.23</v>
      </c>
      <c r="Q456" s="12" t="s">
        <v>23</v>
      </c>
    </row>
    <row r="457" spans="1:17" x14ac:dyDescent="0.3">
      <c r="A457" s="12" t="s">
        <v>984</v>
      </c>
      <c r="B457" s="12" t="s">
        <v>985</v>
      </c>
      <c r="C457" s="12" t="s">
        <v>19</v>
      </c>
      <c r="D457" s="12">
        <v>53</v>
      </c>
      <c r="E457" s="12" t="s">
        <v>69</v>
      </c>
      <c r="F457" s="12" t="s">
        <v>12</v>
      </c>
      <c r="G457" s="12" t="s">
        <v>119</v>
      </c>
      <c r="H457" s="12" t="s">
        <v>57</v>
      </c>
      <c r="I457" s="12">
        <v>7</v>
      </c>
      <c r="J457" s="12">
        <v>156141</v>
      </c>
      <c r="K457" s="12">
        <v>95.03</v>
      </c>
      <c r="L457" s="12">
        <v>6</v>
      </c>
      <c r="M457" s="12">
        <v>35</v>
      </c>
      <c r="N457" s="12">
        <v>21</v>
      </c>
      <c r="O457" s="12" t="s">
        <v>22</v>
      </c>
      <c r="P457" s="12">
        <v>6.11</v>
      </c>
      <c r="Q457" s="12" t="s">
        <v>23</v>
      </c>
    </row>
    <row r="458" spans="1:17" x14ac:dyDescent="0.3">
      <c r="A458" s="12" t="s">
        <v>986</v>
      </c>
      <c r="B458" s="12" t="s">
        <v>987</v>
      </c>
      <c r="C458" s="12" t="s">
        <v>19</v>
      </c>
      <c r="D458" s="12">
        <v>48</v>
      </c>
      <c r="E458" s="12" t="s">
        <v>65</v>
      </c>
      <c r="F458" s="12" t="s">
        <v>13</v>
      </c>
      <c r="G458" s="12" t="s">
        <v>66</v>
      </c>
      <c r="H458" s="12" t="s">
        <v>62</v>
      </c>
      <c r="I458" s="12">
        <v>5</v>
      </c>
      <c r="J458" s="12">
        <v>90919</v>
      </c>
      <c r="K458" s="12">
        <v>70.87</v>
      </c>
      <c r="L458" s="12">
        <v>6</v>
      </c>
      <c r="M458" s="12">
        <v>1</v>
      </c>
      <c r="N458" s="12">
        <v>107</v>
      </c>
      <c r="O458" s="12" t="s">
        <v>20</v>
      </c>
      <c r="P458" s="12">
        <v>6.96</v>
      </c>
      <c r="Q458" s="12" t="s">
        <v>23</v>
      </c>
    </row>
    <row r="459" spans="1:17" x14ac:dyDescent="0.3">
      <c r="A459" s="12" t="s">
        <v>988</v>
      </c>
      <c r="B459" s="12" t="s">
        <v>989</v>
      </c>
      <c r="C459" s="12" t="s">
        <v>18</v>
      </c>
      <c r="D459" s="12">
        <v>41</v>
      </c>
      <c r="E459" s="12" t="s">
        <v>55</v>
      </c>
      <c r="F459" s="12" t="s">
        <v>13</v>
      </c>
      <c r="G459" s="12" t="s">
        <v>66</v>
      </c>
      <c r="H459" s="12" t="s">
        <v>86</v>
      </c>
      <c r="I459" s="12">
        <v>14</v>
      </c>
      <c r="J459" s="12">
        <v>98594</v>
      </c>
      <c r="K459" s="12">
        <v>83.24</v>
      </c>
      <c r="L459" s="12">
        <v>16</v>
      </c>
      <c r="M459" s="12">
        <v>0</v>
      </c>
      <c r="N459" s="12">
        <v>104</v>
      </c>
      <c r="O459" s="12" t="s">
        <v>20</v>
      </c>
      <c r="P459" s="12">
        <v>8.5500000000000007</v>
      </c>
      <c r="Q459" s="12" t="s">
        <v>24</v>
      </c>
    </row>
    <row r="460" spans="1:17" x14ac:dyDescent="0.3">
      <c r="A460" s="12" t="s">
        <v>990</v>
      </c>
      <c r="B460" s="12" t="s">
        <v>991</v>
      </c>
      <c r="C460" s="12" t="s">
        <v>19</v>
      </c>
      <c r="D460" s="12">
        <v>47</v>
      </c>
      <c r="E460" s="12" t="s">
        <v>55</v>
      </c>
      <c r="F460" s="12" t="s">
        <v>12</v>
      </c>
      <c r="G460" s="12" t="s">
        <v>152</v>
      </c>
      <c r="H460" s="12" t="s">
        <v>57</v>
      </c>
      <c r="I460" s="12">
        <v>5</v>
      </c>
      <c r="J460" s="12">
        <v>109663</v>
      </c>
      <c r="K460" s="12">
        <v>91.82</v>
      </c>
      <c r="L460" s="12">
        <v>17</v>
      </c>
      <c r="M460" s="12">
        <v>25</v>
      </c>
      <c r="N460" s="12">
        <v>12</v>
      </c>
      <c r="O460" s="12" t="s">
        <v>21</v>
      </c>
      <c r="P460" s="12">
        <v>6.87</v>
      </c>
      <c r="Q460" s="12" t="s">
        <v>23</v>
      </c>
    </row>
    <row r="461" spans="1:17" x14ac:dyDescent="0.3">
      <c r="A461" s="12" t="s">
        <v>992</v>
      </c>
      <c r="B461" s="12" t="s">
        <v>993</v>
      </c>
      <c r="C461" s="12" t="s">
        <v>18</v>
      </c>
      <c r="D461" s="12">
        <v>44</v>
      </c>
      <c r="E461" s="12" t="s">
        <v>65</v>
      </c>
      <c r="F461" s="12" t="s">
        <v>13</v>
      </c>
      <c r="G461" s="12" t="s">
        <v>56</v>
      </c>
      <c r="H461" s="12" t="s">
        <v>86</v>
      </c>
      <c r="I461" s="12">
        <v>22</v>
      </c>
      <c r="J461" s="12">
        <v>69820</v>
      </c>
      <c r="K461" s="12">
        <v>82.81</v>
      </c>
      <c r="L461" s="12">
        <v>16</v>
      </c>
      <c r="M461" s="12">
        <v>33</v>
      </c>
      <c r="N461" s="12">
        <v>98</v>
      </c>
      <c r="O461" s="12" t="s">
        <v>20</v>
      </c>
      <c r="P461" s="12">
        <v>9.52</v>
      </c>
      <c r="Q461" s="12" t="s">
        <v>24</v>
      </c>
    </row>
    <row r="462" spans="1:17" x14ac:dyDescent="0.3">
      <c r="A462" s="12" t="s">
        <v>994</v>
      </c>
      <c r="B462" s="12" t="s">
        <v>995</v>
      </c>
      <c r="C462" s="12" t="s">
        <v>18</v>
      </c>
      <c r="D462" s="12">
        <v>34</v>
      </c>
      <c r="E462" s="12" t="s">
        <v>91</v>
      </c>
      <c r="F462" s="12" t="s">
        <v>12</v>
      </c>
      <c r="G462" s="12" t="s">
        <v>152</v>
      </c>
      <c r="H462" s="12" t="s">
        <v>86</v>
      </c>
      <c r="I462" s="12">
        <v>11</v>
      </c>
      <c r="J462" s="12">
        <v>71128</v>
      </c>
      <c r="K462" s="12">
        <v>90.04</v>
      </c>
      <c r="L462" s="12">
        <v>5</v>
      </c>
      <c r="M462" s="12">
        <v>29</v>
      </c>
      <c r="N462" s="12">
        <v>38</v>
      </c>
      <c r="O462" s="12" t="s">
        <v>20</v>
      </c>
      <c r="P462" s="12">
        <v>6.32</v>
      </c>
      <c r="Q462" s="12" t="s">
        <v>23</v>
      </c>
    </row>
    <row r="463" spans="1:17" x14ac:dyDescent="0.3">
      <c r="A463" s="12" t="s">
        <v>996</v>
      </c>
      <c r="B463" s="12" t="s">
        <v>997</v>
      </c>
      <c r="C463" s="12" t="s">
        <v>18</v>
      </c>
      <c r="D463" s="12">
        <v>35</v>
      </c>
      <c r="E463" s="12" t="s">
        <v>65</v>
      </c>
      <c r="F463" s="12" t="s">
        <v>16</v>
      </c>
      <c r="G463" s="12" t="s">
        <v>181</v>
      </c>
      <c r="H463" s="12" t="s">
        <v>86</v>
      </c>
      <c r="I463" s="12">
        <v>11</v>
      </c>
      <c r="J463" s="12">
        <v>53607</v>
      </c>
      <c r="K463" s="12">
        <v>65.959999999999994</v>
      </c>
      <c r="L463" s="12">
        <v>9</v>
      </c>
      <c r="M463" s="12">
        <v>33</v>
      </c>
      <c r="N463" s="12">
        <v>48</v>
      </c>
      <c r="O463" s="12" t="s">
        <v>20</v>
      </c>
      <c r="P463" s="12">
        <v>6.02</v>
      </c>
      <c r="Q463" s="12" t="s">
        <v>23</v>
      </c>
    </row>
    <row r="464" spans="1:17" x14ac:dyDescent="0.3">
      <c r="A464" s="12" t="s">
        <v>998</v>
      </c>
      <c r="B464" s="12" t="s">
        <v>999</v>
      </c>
      <c r="C464" s="12" t="s">
        <v>18</v>
      </c>
      <c r="D464" s="12">
        <v>27</v>
      </c>
      <c r="E464" s="12" t="s">
        <v>80</v>
      </c>
      <c r="F464" s="12" t="s">
        <v>16</v>
      </c>
      <c r="G464" s="12" t="s">
        <v>76</v>
      </c>
      <c r="H464" s="12" t="s">
        <v>62</v>
      </c>
      <c r="I464" s="12">
        <v>5</v>
      </c>
      <c r="J464" s="12">
        <v>40868</v>
      </c>
      <c r="K464" s="12">
        <v>78.36</v>
      </c>
      <c r="L464" s="12">
        <v>11</v>
      </c>
      <c r="M464" s="12">
        <v>46</v>
      </c>
      <c r="N464" s="12">
        <v>32</v>
      </c>
      <c r="O464" s="12" t="s">
        <v>22</v>
      </c>
      <c r="P464" s="12">
        <v>7</v>
      </c>
      <c r="Q464" s="12" t="s">
        <v>23</v>
      </c>
    </row>
    <row r="465" spans="1:17" x14ac:dyDescent="0.3">
      <c r="A465" s="12" t="s">
        <v>1000</v>
      </c>
      <c r="B465" s="12" t="s">
        <v>1001</v>
      </c>
      <c r="C465" s="12" t="s">
        <v>19</v>
      </c>
      <c r="D465" s="12">
        <v>42</v>
      </c>
      <c r="E465" s="12" t="s">
        <v>69</v>
      </c>
      <c r="F465" s="12" t="s">
        <v>12</v>
      </c>
      <c r="G465" s="12" t="s">
        <v>119</v>
      </c>
      <c r="H465" s="12" t="s">
        <v>77</v>
      </c>
      <c r="I465" s="12">
        <v>6</v>
      </c>
      <c r="J465" s="12">
        <v>155755</v>
      </c>
      <c r="K465" s="12">
        <v>82.44</v>
      </c>
      <c r="L465" s="12">
        <v>1</v>
      </c>
      <c r="M465" s="12">
        <v>60</v>
      </c>
      <c r="N465" s="12">
        <v>110</v>
      </c>
      <c r="O465" s="12" t="s">
        <v>20</v>
      </c>
      <c r="P465" s="12">
        <v>6.89</v>
      </c>
      <c r="Q465" s="12" t="s">
        <v>23</v>
      </c>
    </row>
    <row r="466" spans="1:17" x14ac:dyDescent="0.3">
      <c r="A466" s="12" t="s">
        <v>1002</v>
      </c>
      <c r="B466" s="12" t="s">
        <v>1003</v>
      </c>
      <c r="C466" s="12" t="s">
        <v>19</v>
      </c>
      <c r="D466" s="12">
        <v>23</v>
      </c>
      <c r="E466" s="12" t="s">
        <v>65</v>
      </c>
      <c r="F466" s="12" t="s">
        <v>14</v>
      </c>
      <c r="G466" s="12" t="s">
        <v>70</v>
      </c>
      <c r="H466" s="12" t="s">
        <v>57</v>
      </c>
      <c r="I466" s="12">
        <v>2</v>
      </c>
      <c r="J466" s="12">
        <v>107754</v>
      </c>
      <c r="K466" s="12">
        <v>91.68</v>
      </c>
      <c r="L466" s="12">
        <v>10</v>
      </c>
      <c r="M466" s="12">
        <v>46</v>
      </c>
      <c r="N466" s="12">
        <v>41</v>
      </c>
      <c r="O466" s="12" t="s">
        <v>22</v>
      </c>
      <c r="P466" s="12">
        <v>7.38</v>
      </c>
      <c r="Q466" s="12" t="s">
        <v>23</v>
      </c>
    </row>
    <row r="467" spans="1:17" x14ac:dyDescent="0.3">
      <c r="A467" s="12" t="s">
        <v>1004</v>
      </c>
      <c r="B467" s="12" t="s">
        <v>1005</v>
      </c>
      <c r="C467" s="12" t="s">
        <v>18</v>
      </c>
      <c r="D467" s="12">
        <v>34</v>
      </c>
      <c r="E467" s="12" t="s">
        <v>91</v>
      </c>
      <c r="F467" s="12" t="s">
        <v>12</v>
      </c>
      <c r="G467" s="12" t="s">
        <v>92</v>
      </c>
      <c r="H467" s="12" t="s">
        <v>62</v>
      </c>
      <c r="I467" s="12">
        <v>3</v>
      </c>
      <c r="J467" s="12">
        <v>146801</v>
      </c>
      <c r="K467" s="12">
        <v>75.680000000000007</v>
      </c>
      <c r="L467" s="12">
        <v>7</v>
      </c>
      <c r="M467" s="12">
        <v>36</v>
      </c>
      <c r="N467" s="12">
        <v>71</v>
      </c>
      <c r="O467" s="12" t="s">
        <v>20</v>
      </c>
      <c r="P467" s="12">
        <v>6.92</v>
      </c>
      <c r="Q467" s="12" t="s">
        <v>23</v>
      </c>
    </row>
    <row r="468" spans="1:17" x14ac:dyDescent="0.3">
      <c r="A468" s="12" t="s">
        <v>1006</v>
      </c>
      <c r="B468" s="12" t="s">
        <v>1007</v>
      </c>
      <c r="C468" s="12" t="s">
        <v>19</v>
      </c>
      <c r="D468" s="12">
        <v>36</v>
      </c>
      <c r="E468" s="12" t="s">
        <v>80</v>
      </c>
      <c r="F468" s="12" t="s">
        <v>12</v>
      </c>
      <c r="G468" s="12" t="s">
        <v>119</v>
      </c>
      <c r="H468" s="12" t="s">
        <v>77</v>
      </c>
      <c r="I468" s="12">
        <v>9</v>
      </c>
      <c r="J468" s="12">
        <v>153635</v>
      </c>
      <c r="K468" s="12">
        <v>88.17</v>
      </c>
      <c r="L468" s="12">
        <v>2</v>
      </c>
      <c r="M468" s="12">
        <v>45</v>
      </c>
      <c r="N468" s="12">
        <v>89</v>
      </c>
      <c r="O468" s="12" t="s">
        <v>22</v>
      </c>
      <c r="P468" s="12">
        <v>6.33</v>
      </c>
      <c r="Q468" s="12" t="s">
        <v>23</v>
      </c>
    </row>
    <row r="469" spans="1:17" x14ac:dyDescent="0.3">
      <c r="A469" s="12" t="s">
        <v>1008</v>
      </c>
      <c r="B469" s="12" t="s">
        <v>1009</v>
      </c>
      <c r="C469" s="12" t="s">
        <v>19</v>
      </c>
      <c r="D469" s="12">
        <v>52</v>
      </c>
      <c r="E469" s="12" t="s">
        <v>60</v>
      </c>
      <c r="F469" s="12" t="s">
        <v>12</v>
      </c>
      <c r="G469" s="12" t="s">
        <v>119</v>
      </c>
      <c r="H469" s="12" t="s">
        <v>86</v>
      </c>
      <c r="I469" s="12">
        <v>20</v>
      </c>
      <c r="J469" s="12">
        <v>135812</v>
      </c>
      <c r="K469" s="12">
        <v>99.25</v>
      </c>
      <c r="L469" s="12">
        <v>2</v>
      </c>
      <c r="M469" s="12">
        <v>13</v>
      </c>
      <c r="N469" s="12">
        <v>63</v>
      </c>
      <c r="O469" s="12" t="s">
        <v>21</v>
      </c>
      <c r="P469" s="12">
        <v>7.95</v>
      </c>
      <c r="Q469" s="12" t="s">
        <v>23</v>
      </c>
    </row>
    <row r="470" spans="1:17" x14ac:dyDescent="0.3">
      <c r="A470" s="12" t="s">
        <v>1010</v>
      </c>
      <c r="B470" s="12" t="s">
        <v>1011</v>
      </c>
      <c r="C470" s="12" t="s">
        <v>19</v>
      </c>
      <c r="D470" s="12">
        <v>52</v>
      </c>
      <c r="E470" s="12" t="s">
        <v>80</v>
      </c>
      <c r="F470" s="12" t="s">
        <v>15</v>
      </c>
      <c r="G470" s="12" t="s">
        <v>130</v>
      </c>
      <c r="H470" s="12" t="s">
        <v>62</v>
      </c>
      <c r="I470" s="12">
        <v>26</v>
      </c>
      <c r="J470" s="12">
        <v>36834</v>
      </c>
      <c r="K470" s="12">
        <v>84.35</v>
      </c>
      <c r="L470" s="12">
        <v>13</v>
      </c>
      <c r="M470" s="12">
        <v>40</v>
      </c>
      <c r="N470" s="12">
        <v>43</v>
      </c>
      <c r="O470" s="12" t="s">
        <v>20</v>
      </c>
      <c r="P470" s="12">
        <v>7.59</v>
      </c>
      <c r="Q470" s="12" t="s">
        <v>23</v>
      </c>
    </row>
    <row r="471" spans="1:17" x14ac:dyDescent="0.3">
      <c r="A471" s="12" t="s">
        <v>1012</v>
      </c>
      <c r="B471" s="12" t="s">
        <v>1013</v>
      </c>
      <c r="C471" s="12" t="s">
        <v>19</v>
      </c>
      <c r="D471" s="12">
        <v>39</v>
      </c>
      <c r="E471" s="12" t="s">
        <v>65</v>
      </c>
      <c r="F471" s="12" t="s">
        <v>16</v>
      </c>
      <c r="G471" s="12" t="s">
        <v>76</v>
      </c>
      <c r="H471" s="12" t="s">
        <v>62</v>
      </c>
      <c r="I471" s="12">
        <v>1</v>
      </c>
      <c r="J471" s="12">
        <v>119097</v>
      </c>
      <c r="K471" s="12">
        <v>75.42</v>
      </c>
      <c r="L471" s="12">
        <v>2</v>
      </c>
      <c r="M471" s="12">
        <v>22</v>
      </c>
      <c r="N471" s="12">
        <v>30</v>
      </c>
      <c r="O471" s="12" t="s">
        <v>20</v>
      </c>
      <c r="P471" s="12">
        <v>4.93</v>
      </c>
      <c r="Q471" s="12" t="s">
        <v>23</v>
      </c>
    </row>
    <row r="472" spans="1:17" x14ac:dyDescent="0.3">
      <c r="A472" s="12" t="s">
        <v>1014</v>
      </c>
      <c r="B472" s="12" t="s">
        <v>1015</v>
      </c>
      <c r="C472" s="12" t="s">
        <v>18</v>
      </c>
      <c r="D472" s="12">
        <v>56</v>
      </c>
      <c r="E472" s="12" t="s">
        <v>69</v>
      </c>
      <c r="F472" s="12" t="s">
        <v>17</v>
      </c>
      <c r="G472" s="12" t="s">
        <v>99</v>
      </c>
      <c r="H472" s="12" t="s">
        <v>77</v>
      </c>
      <c r="I472" s="12">
        <v>5</v>
      </c>
      <c r="J472" s="12">
        <v>102752</v>
      </c>
      <c r="K472" s="12">
        <v>65.87</v>
      </c>
      <c r="L472" s="12">
        <v>15</v>
      </c>
      <c r="M472" s="12">
        <v>22</v>
      </c>
      <c r="N472" s="12">
        <v>19</v>
      </c>
      <c r="O472" s="12" t="s">
        <v>20</v>
      </c>
      <c r="P472" s="12">
        <v>5.54</v>
      </c>
      <c r="Q472" s="12" t="s">
        <v>23</v>
      </c>
    </row>
    <row r="473" spans="1:17" x14ac:dyDescent="0.3">
      <c r="A473" s="12" t="s">
        <v>1016</v>
      </c>
      <c r="B473" s="12" t="s">
        <v>1017</v>
      </c>
      <c r="C473" s="12" t="s">
        <v>18</v>
      </c>
      <c r="D473" s="12">
        <v>22</v>
      </c>
      <c r="E473" s="12" t="s">
        <v>91</v>
      </c>
      <c r="F473" s="12" t="s">
        <v>13</v>
      </c>
      <c r="G473" s="12" t="s">
        <v>107</v>
      </c>
      <c r="H473" s="12" t="s">
        <v>77</v>
      </c>
      <c r="I473" s="12">
        <v>0</v>
      </c>
      <c r="J473" s="12">
        <v>84641</v>
      </c>
      <c r="K473" s="12">
        <v>91.11</v>
      </c>
      <c r="L473" s="12">
        <v>7</v>
      </c>
      <c r="M473" s="12">
        <v>26</v>
      </c>
      <c r="N473" s="12">
        <v>85</v>
      </c>
      <c r="O473" s="12" t="s">
        <v>21</v>
      </c>
      <c r="P473" s="12">
        <v>7.72</v>
      </c>
      <c r="Q473" s="12" t="s">
        <v>23</v>
      </c>
    </row>
    <row r="474" spans="1:17" x14ac:dyDescent="0.3">
      <c r="A474" s="12" t="s">
        <v>1018</v>
      </c>
      <c r="B474" s="12" t="s">
        <v>1019</v>
      </c>
      <c r="C474" s="12" t="s">
        <v>18</v>
      </c>
      <c r="D474" s="12">
        <v>55</v>
      </c>
      <c r="E474" s="12" t="s">
        <v>91</v>
      </c>
      <c r="F474" s="12" t="s">
        <v>14</v>
      </c>
      <c r="G474" s="12" t="s">
        <v>70</v>
      </c>
      <c r="H474" s="12" t="s">
        <v>77</v>
      </c>
      <c r="I474" s="12">
        <v>34</v>
      </c>
      <c r="J474" s="12">
        <v>165240</v>
      </c>
      <c r="K474" s="12">
        <v>94.67</v>
      </c>
      <c r="L474" s="12">
        <v>16</v>
      </c>
      <c r="M474" s="12">
        <v>55</v>
      </c>
      <c r="N474" s="12">
        <v>49</v>
      </c>
      <c r="O474" s="12" t="s">
        <v>21</v>
      </c>
      <c r="P474" s="12">
        <v>9.86</v>
      </c>
      <c r="Q474" s="12" t="s">
        <v>24</v>
      </c>
    </row>
    <row r="475" spans="1:17" x14ac:dyDescent="0.3">
      <c r="A475" s="12" t="s">
        <v>1020</v>
      </c>
      <c r="B475" s="12" t="s">
        <v>1021</v>
      </c>
      <c r="C475" s="12" t="s">
        <v>19</v>
      </c>
      <c r="D475" s="12">
        <v>58</v>
      </c>
      <c r="E475" s="12" t="s">
        <v>60</v>
      </c>
      <c r="F475" s="12" t="s">
        <v>15</v>
      </c>
      <c r="G475" s="12" t="s">
        <v>61</v>
      </c>
      <c r="H475" s="12" t="s">
        <v>86</v>
      </c>
      <c r="I475" s="12">
        <v>16</v>
      </c>
      <c r="J475" s="12">
        <v>68588</v>
      </c>
      <c r="K475" s="12">
        <v>78.75</v>
      </c>
      <c r="L475" s="12">
        <v>8</v>
      </c>
      <c r="M475" s="12">
        <v>18</v>
      </c>
      <c r="N475" s="12">
        <v>81</v>
      </c>
      <c r="O475" s="12" t="s">
        <v>21</v>
      </c>
      <c r="P475" s="12">
        <v>6.77</v>
      </c>
      <c r="Q475" s="12" t="s">
        <v>23</v>
      </c>
    </row>
    <row r="476" spans="1:17" x14ac:dyDescent="0.3">
      <c r="A476" s="12" t="s">
        <v>1022</v>
      </c>
      <c r="B476" s="12" t="s">
        <v>1023</v>
      </c>
      <c r="C476" s="12" t="s">
        <v>19</v>
      </c>
      <c r="D476" s="12">
        <v>52</v>
      </c>
      <c r="E476" s="12" t="s">
        <v>80</v>
      </c>
      <c r="F476" s="12" t="s">
        <v>17</v>
      </c>
      <c r="G476" s="12" t="s">
        <v>102</v>
      </c>
      <c r="H476" s="12" t="s">
        <v>57</v>
      </c>
      <c r="I476" s="12">
        <v>23</v>
      </c>
      <c r="J476" s="12">
        <v>108034</v>
      </c>
      <c r="K476" s="12">
        <v>83.48</v>
      </c>
      <c r="L476" s="12">
        <v>2</v>
      </c>
      <c r="M476" s="12">
        <v>16</v>
      </c>
      <c r="N476" s="12">
        <v>112</v>
      </c>
      <c r="O476" s="12" t="s">
        <v>22</v>
      </c>
      <c r="P476" s="12">
        <v>7.93</v>
      </c>
      <c r="Q476" s="12" t="s">
        <v>23</v>
      </c>
    </row>
    <row r="477" spans="1:17" x14ac:dyDescent="0.3">
      <c r="A477" s="12" t="s">
        <v>1024</v>
      </c>
      <c r="B477" s="12" t="s">
        <v>1025</v>
      </c>
      <c r="C477" s="12" t="s">
        <v>18</v>
      </c>
      <c r="D477" s="12">
        <v>31</v>
      </c>
      <c r="E477" s="12" t="s">
        <v>80</v>
      </c>
      <c r="F477" s="12" t="s">
        <v>13</v>
      </c>
      <c r="G477" s="12" t="s">
        <v>107</v>
      </c>
      <c r="H477" s="12" t="s">
        <v>77</v>
      </c>
      <c r="I477" s="12">
        <v>2</v>
      </c>
      <c r="J477" s="12">
        <v>94376</v>
      </c>
      <c r="K477" s="12">
        <v>94.56</v>
      </c>
      <c r="L477" s="12">
        <v>12</v>
      </c>
      <c r="M477" s="12">
        <v>3</v>
      </c>
      <c r="N477" s="12">
        <v>59</v>
      </c>
      <c r="O477" s="12" t="s">
        <v>20</v>
      </c>
      <c r="P477" s="12">
        <v>8.6</v>
      </c>
      <c r="Q477" s="12" t="s">
        <v>23</v>
      </c>
    </row>
    <row r="478" spans="1:17" x14ac:dyDescent="0.3">
      <c r="A478" s="12" t="s">
        <v>1026</v>
      </c>
      <c r="B478" s="12" t="s">
        <v>1027</v>
      </c>
      <c r="C478" s="12" t="s">
        <v>19</v>
      </c>
      <c r="D478" s="12">
        <v>49</v>
      </c>
      <c r="E478" s="12" t="s">
        <v>65</v>
      </c>
      <c r="F478" s="12" t="s">
        <v>17</v>
      </c>
      <c r="G478" s="12" t="s">
        <v>99</v>
      </c>
      <c r="H478" s="12" t="s">
        <v>77</v>
      </c>
      <c r="I478" s="12">
        <v>22</v>
      </c>
      <c r="J478" s="12">
        <v>94783</v>
      </c>
      <c r="K478" s="12">
        <v>94.44</v>
      </c>
      <c r="L478" s="12">
        <v>8</v>
      </c>
      <c r="M478" s="12">
        <v>45</v>
      </c>
      <c r="N478" s="12">
        <v>6</v>
      </c>
      <c r="O478" s="12" t="s">
        <v>22</v>
      </c>
      <c r="P478" s="12">
        <v>6.06</v>
      </c>
      <c r="Q478" s="12" t="s">
        <v>23</v>
      </c>
    </row>
    <row r="479" spans="1:17" x14ac:dyDescent="0.3">
      <c r="A479" s="12" t="s">
        <v>1028</v>
      </c>
      <c r="B479" s="12" t="s">
        <v>1029</v>
      </c>
      <c r="C479" s="12" t="s">
        <v>19</v>
      </c>
      <c r="D479" s="12">
        <v>38</v>
      </c>
      <c r="E479" s="12" t="s">
        <v>65</v>
      </c>
      <c r="F479" s="12" t="s">
        <v>14</v>
      </c>
      <c r="G479" s="12" t="s">
        <v>110</v>
      </c>
      <c r="H479" s="12" t="s">
        <v>62</v>
      </c>
      <c r="I479" s="12">
        <v>12</v>
      </c>
      <c r="J479" s="12">
        <v>139462</v>
      </c>
      <c r="K479" s="12">
        <v>66.95</v>
      </c>
      <c r="L479" s="12">
        <v>9</v>
      </c>
      <c r="M479" s="12">
        <v>5</v>
      </c>
      <c r="N479" s="12">
        <v>20</v>
      </c>
      <c r="O479" s="12" t="s">
        <v>22</v>
      </c>
      <c r="P479" s="12">
        <v>6.47</v>
      </c>
      <c r="Q479" s="12" t="s">
        <v>23</v>
      </c>
    </row>
    <row r="480" spans="1:17" x14ac:dyDescent="0.3">
      <c r="A480" s="12" t="s">
        <v>1030</v>
      </c>
      <c r="B480" s="12" t="s">
        <v>1031</v>
      </c>
      <c r="C480" s="12" t="s">
        <v>18</v>
      </c>
      <c r="D480" s="12">
        <v>41</v>
      </c>
      <c r="E480" s="12" t="s">
        <v>65</v>
      </c>
      <c r="F480" s="12" t="s">
        <v>12</v>
      </c>
      <c r="G480" s="12" t="s">
        <v>92</v>
      </c>
      <c r="H480" s="12" t="s">
        <v>77</v>
      </c>
      <c r="I480" s="12">
        <v>12</v>
      </c>
      <c r="J480" s="12">
        <v>60020</v>
      </c>
      <c r="K480" s="12">
        <v>73.52</v>
      </c>
      <c r="L480" s="12">
        <v>5</v>
      </c>
      <c r="M480" s="12">
        <v>1</v>
      </c>
      <c r="N480" s="12">
        <v>38</v>
      </c>
      <c r="O480" s="12" t="s">
        <v>22</v>
      </c>
      <c r="P480" s="12">
        <v>5.35</v>
      </c>
      <c r="Q480" s="12" t="s">
        <v>23</v>
      </c>
    </row>
    <row r="481" spans="1:17" x14ac:dyDescent="0.3">
      <c r="A481" s="12" t="s">
        <v>1032</v>
      </c>
      <c r="B481" s="12" t="s">
        <v>1033</v>
      </c>
      <c r="C481" s="12" t="s">
        <v>19</v>
      </c>
      <c r="D481" s="12">
        <v>30</v>
      </c>
      <c r="E481" s="12" t="s">
        <v>55</v>
      </c>
      <c r="F481" s="12" t="s">
        <v>12</v>
      </c>
      <c r="G481" s="12" t="s">
        <v>92</v>
      </c>
      <c r="H481" s="12" t="s">
        <v>86</v>
      </c>
      <c r="I481" s="12">
        <v>6</v>
      </c>
      <c r="J481" s="12">
        <v>139843</v>
      </c>
      <c r="K481" s="12">
        <v>87.23</v>
      </c>
      <c r="L481" s="12">
        <v>19</v>
      </c>
      <c r="M481" s="12">
        <v>8</v>
      </c>
      <c r="N481" s="12">
        <v>18</v>
      </c>
      <c r="O481" s="12" t="s">
        <v>21</v>
      </c>
      <c r="P481" s="12">
        <v>8.82</v>
      </c>
      <c r="Q481" s="12" t="s">
        <v>24</v>
      </c>
    </row>
    <row r="482" spans="1:17" x14ac:dyDescent="0.3">
      <c r="A482" s="12" t="s">
        <v>1034</v>
      </c>
      <c r="B482" s="12" t="s">
        <v>1035</v>
      </c>
      <c r="C482" s="12" t="s">
        <v>18</v>
      </c>
      <c r="D482" s="12">
        <v>54</v>
      </c>
      <c r="E482" s="12" t="s">
        <v>80</v>
      </c>
      <c r="F482" s="12" t="s">
        <v>13</v>
      </c>
      <c r="G482" s="12" t="s">
        <v>66</v>
      </c>
      <c r="H482" s="12" t="s">
        <v>57</v>
      </c>
      <c r="I482" s="12">
        <v>21</v>
      </c>
      <c r="J482" s="12">
        <v>58822</v>
      </c>
      <c r="K482" s="12">
        <v>70.319999999999993</v>
      </c>
      <c r="L482" s="12">
        <v>2</v>
      </c>
      <c r="M482" s="12">
        <v>37</v>
      </c>
      <c r="N482" s="12">
        <v>98</v>
      </c>
      <c r="O482" s="12" t="s">
        <v>20</v>
      </c>
      <c r="P482" s="12">
        <v>6.07</v>
      </c>
      <c r="Q482" s="12" t="s">
        <v>23</v>
      </c>
    </row>
    <row r="483" spans="1:17" x14ac:dyDescent="0.3">
      <c r="A483" s="12" t="s">
        <v>1036</v>
      </c>
      <c r="B483" s="12" t="s">
        <v>1037</v>
      </c>
      <c r="C483" s="12" t="s">
        <v>18</v>
      </c>
      <c r="D483" s="12">
        <v>32</v>
      </c>
      <c r="E483" s="12" t="s">
        <v>80</v>
      </c>
      <c r="F483" s="12" t="s">
        <v>15</v>
      </c>
      <c r="G483" s="12" t="s">
        <v>73</v>
      </c>
      <c r="H483" s="12" t="s">
        <v>77</v>
      </c>
      <c r="I483" s="12">
        <v>10</v>
      </c>
      <c r="J483" s="12">
        <v>32193</v>
      </c>
      <c r="K483" s="12">
        <v>97.46</v>
      </c>
      <c r="L483" s="12">
        <v>9</v>
      </c>
      <c r="M483" s="12">
        <v>7</v>
      </c>
      <c r="N483" s="12">
        <v>43</v>
      </c>
      <c r="O483" s="12" t="s">
        <v>22</v>
      </c>
      <c r="P483" s="12">
        <v>8.3000000000000007</v>
      </c>
      <c r="Q483" s="12" t="s">
        <v>23</v>
      </c>
    </row>
    <row r="484" spans="1:17" x14ac:dyDescent="0.3">
      <c r="A484" s="12" t="s">
        <v>1038</v>
      </c>
      <c r="B484" s="12" t="s">
        <v>1039</v>
      </c>
      <c r="C484" s="12" t="s">
        <v>18</v>
      </c>
      <c r="D484" s="12">
        <v>49</v>
      </c>
      <c r="E484" s="12" t="s">
        <v>80</v>
      </c>
      <c r="F484" s="12" t="s">
        <v>13</v>
      </c>
      <c r="G484" s="12" t="s">
        <v>66</v>
      </c>
      <c r="H484" s="12" t="s">
        <v>62</v>
      </c>
      <c r="I484" s="12">
        <v>27</v>
      </c>
      <c r="J484" s="12">
        <v>44953</v>
      </c>
      <c r="K484" s="12">
        <v>68.98</v>
      </c>
      <c r="L484" s="12">
        <v>9</v>
      </c>
      <c r="M484" s="12">
        <v>10</v>
      </c>
      <c r="N484" s="12">
        <v>13</v>
      </c>
      <c r="O484" s="12" t="s">
        <v>20</v>
      </c>
      <c r="P484" s="12">
        <v>7.47</v>
      </c>
      <c r="Q484" s="12" t="s">
        <v>23</v>
      </c>
    </row>
    <row r="485" spans="1:17" x14ac:dyDescent="0.3">
      <c r="A485" s="12" t="s">
        <v>1040</v>
      </c>
      <c r="B485" s="12" t="s">
        <v>1041</v>
      </c>
      <c r="C485" s="12" t="s">
        <v>19</v>
      </c>
      <c r="D485" s="12">
        <v>22</v>
      </c>
      <c r="E485" s="12" t="s">
        <v>91</v>
      </c>
      <c r="F485" s="12" t="s">
        <v>17</v>
      </c>
      <c r="G485" s="12" t="s">
        <v>135</v>
      </c>
      <c r="H485" s="12" t="s">
        <v>57</v>
      </c>
      <c r="I485" s="12">
        <v>0</v>
      </c>
      <c r="J485" s="12">
        <v>47926</v>
      </c>
      <c r="K485" s="12">
        <v>93.18</v>
      </c>
      <c r="L485" s="12">
        <v>1</v>
      </c>
      <c r="M485" s="12">
        <v>55</v>
      </c>
      <c r="N485" s="12">
        <v>69</v>
      </c>
      <c r="O485" s="12" t="s">
        <v>22</v>
      </c>
      <c r="P485" s="12">
        <v>5.77</v>
      </c>
      <c r="Q485" s="12" t="s">
        <v>23</v>
      </c>
    </row>
    <row r="486" spans="1:17" x14ac:dyDescent="0.3">
      <c r="A486" s="12" t="s">
        <v>1042</v>
      </c>
      <c r="B486" s="12" t="s">
        <v>1043</v>
      </c>
      <c r="C486" s="12" t="s">
        <v>18</v>
      </c>
      <c r="D486" s="12">
        <v>52</v>
      </c>
      <c r="E486" s="12" t="s">
        <v>60</v>
      </c>
      <c r="F486" s="12" t="s">
        <v>14</v>
      </c>
      <c r="G486" s="12" t="s">
        <v>248</v>
      </c>
      <c r="H486" s="12" t="s">
        <v>86</v>
      </c>
      <c r="I486" s="12">
        <v>18</v>
      </c>
      <c r="J486" s="12">
        <v>61231</v>
      </c>
      <c r="K486" s="12">
        <v>90.86</v>
      </c>
      <c r="L486" s="12">
        <v>7</v>
      </c>
      <c r="M486" s="12">
        <v>10</v>
      </c>
      <c r="N486" s="12">
        <v>31</v>
      </c>
      <c r="O486" s="12" t="s">
        <v>20</v>
      </c>
      <c r="P486" s="12">
        <v>7.83</v>
      </c>
      <c r="Q486" s="12" t="s">
        <v>23</v>
      </c>
    </row>
    <row r="487" spans="1:17" x14ac:dyDescent="0.3">
      <c r="A487" s="12" t="s">
        <v>1044</v>
      </c>
      <c r="B487" s="12" t="s">
        <v>1045</v>
      </c>
      <c r="C487" s="12" t="s">
        <v>18</v>
      </c>
      <c r="D487" s="12">
        <v>58</v>
      </c>
      <c r="E487" s="12" t="s">
        <v>91</v>
      </c>
      <c r="F487" s="12" t="s">
        <v>16</v>
      </c>
      <c r="G487" s="12" t="s">
        <v>271</v>
      </c>
      <c r="H487" s="12" t="s">
        <v>86</v>
      </c>
      <c r="I487" s="12">
        <v>1</v>
      </c>
      <c r="J487" s="12">
        <v>76615</v>
      </c>
      <c r="K487" s="12">
        <v>98</v>
      </c>
      <c r="L487" s="12">
        <v>14</v>
      </c>
      <c r="M487" s="12">
        <v>36</v>
      </c>
      <c r="N487" s="12">
        <v>35</v>
      </c>
      <c r="O487" s="12" t="s">
        <v>20</v>
      </c>
      <c r="P487" s="12">
        <v>7.81</v>
      </c>
      <c r="Q487" s="12" t="s">
        <v>23</v>
      </c>
    </row>
    <row r="488" spans="1:17" x14ac:dyDescent="0.3">
      <c r="A488" s="12" t="s">
        <v>1046</v>
      </c>
      <c r="B488" s="12" t="s">
        <v>1047</v>
      </c>
      <c r="C488" s="12" t="s">
        <v>18</v>
      </c>
      <c r="D488" s="12">
        <v>52</v>
      </c>
      <c r="E488" s="12" t="s">
        <v>69</v>
      </c>
      <c r="F488" s="12" t="s">
        <v>13</v>
      </c>
      <c r="G488" s="12" t="s">
        <v>66</v>
      </c>
      <c r="H488" s="12" t="s">
        <v>86</v>
      </c>
      <c r="I488" s="12">
        <v>22</v>
      </c>
      <c r="J488" s="12">
        <v>70720</v>
      </c>
      <c r="K488" s="12">
        <v>66.73</v>
      </c>
      <c r="L488" s="12">
        <v>8</v>
      </c>
      <c r="M488" s="12">
        <v>46</v>
      </c>
      <c r="N488" s="12">
        <v>23</v>
      </c>
      <c r="O488" s="12" t="s">
        <v>22</v>
      </c>
      <c r="P488" s="12">
        <v>4.9800000000000004</v>
      </c>
      <c r="Q488" s="12" t="s">
        <v>23</v>
      </c>
    </row>
    <row r="489" spans="1:17" x14ac:dyDescent="0.3">
      <c r="A489" s="12" t="s">
        <v>1048</v>
      </c>
      <c r="B489" s="12" t="s">
        <v>1049</v>
      </c>
      <c r="C489" s="12" t="s">
        <v>19</v>
      </c>
      <c r="D489" s="12">
        <v>46</v>
      </c>
      <c r="E489" s="12" t="s">
        <v>65</v>
      </c>
      <c r="F489" s="12" t="s">
        <v>15</v>
      </c>
      <c r="G489" s="12" t="s">
        <v>73</v>
      </c>
      <c r="H489" s="12" t="s">
        <v>86</v>
      </c>
      <c r="I489" s="12">
        <v>16</v>
      </c>
      <c r="J489" s="12">
        <v>142179</v>
      </c>
      <c r="K489" s="12">
        <v>83.53</v>
      </c>
      <c r="L489" s="12">
        <v>14</v>
      </c>
      <c r="M489" s="12">
        <v>55</v>
      </c>
      <c r="N489" s="12">
        <v>73</v>
      </c>
      <c r="O489" s="12" t="s">
        <v>21</v>
      </c>
      <c r="P489" s="12">
        <v>8.33</v>
      </c>
      <c r="Q489" s="12" t="s">
        <v>23</v>
      </c>
    </row>
    <row r="490" spans="1:17" x14ac:dyDescent="0.3">
      <c r="A490" s="12" t="s">
        <v>1050</v>
      </c>
      <c r="B490" s="12" t="s">
        <v>1051</v>
      </c>
      <c r="C490" s="12" t="s">
        <v>19</v>
      </c>
      <c r="D490" s="12">
        <v>47</v>
      </c>
      <c r="E490" s="12" t="s">
        <v>55</v>
      </c>
      <c r="F490" s="12" t="s">
        <v>14</v>
      </c>
      <c r="G490" s="12" t="s">
        <v>70</v>
      </c>
      <c r="H490" s="12" t="s">
        <v>57</v>
      </c>
      <c r="I490" s="12">
        <v>4</v>
      </c>
      <c r="J490" s="12">
        <v>131181</v>
      </c>
      <c r="K490" s="12">
        <v>78.900000000000006</v>
      </c>
      <c r="L490" s="12">
        <v>14</v>
      </c>
      <c r="M490" s="12">
        <v>43</v>
      </c>
      <c r="N490" s="12">
        <v>86</v>
      </c>
      <c r="O490" s="12" t="s">
        <v>20</v>
      </c>
      <c r="P490" s="12">
        <v>7.53</v>
      </c>
      <c r="Q490" s="12" t="s">
        <v>23</v>
      </c>
    </row>
    <row r="491" spans="1:17" x14ac:dyDescent="0.3">
      <c r="A491" s="12" t="s">
        <v>1052</v>
      </c>
      <c r="B491" s="12" t="s">
        <v>1053</v>
      </c>
      <c r="C491" s="12" t="s">
        <v>19</v>
      </c>
      <c r="D491" s="12">
        <v>44</v>
      </c>
      <c r="E491" s="12" t="s">
        <v>65</v>
      </c>
      <c r="F491" s="12" t="s">
        <v>12</v>
      </c>
      <c r="G491" s="12" t="s">
        <v>152</v>
      </c>
      <c r="H491" s="12" t="s">
        <v>86</v>
      </c>
      <c r="I491" s="12">
        <v>17</v>
      </c>
      <c r="J491" s="12">
        <v>59575</v>
      </c>
      <c r="K491" s="12">
        <v>74.989999999999995</v>
      </c>
      <c r="L491" s="12">
        <v>15</v>
      </c>
      <c r="M491" s="12">
        <v>57</v>
      </c>
      <c r="N491" s="12">
        <v>89</v>
      </c>
      <c r="O491" s="12" t="s">
        <v>21</v>
      </c>
      <c r="P491" s="12">
        <v>8.8000000000000007</v>
      </c>
      <c r="Q491" s="12" t="s">
        <v>24</v>
      </c>
    </row>
    <row r="492" spans="1:17" x14ac:dyDescent="0.3">
      <c r="A492" s="12" t="s">
        <v>1054</v>
      </c>
      <c r="B492" s="12" t="s">
        <v>1055</v>
      </c>
      <c r="C492" s="12" t="s">
        <v>18</v>
      </c>
      <c r="D492" s="12">
        <v>24</v>
      </c>
      <c r="E492" s="12" t="s">
        <v>55</v>
      </c>
      <c r="F492" s="12" t="s">
        <v>17</v>
      </c>
      <c r="G492" s="12" t="s">
        <v>135</v>
      </c>
      <c r="H492" s="12" t="s">
        <v>62</v>
      </c>
      <c r="I492" s="12">
        <v>2</v>
      </c>
      <c r="J492" s="12">
        <v>104140</v>
      </c>
      <c r="K492" s="12">
        <v>93.18</v>
      </c>
      <c r="L492" s="12">
        <v>4</v>
      </c>
      <c r="M492" s="12">
        <v>6</v>
      </c>
      <c r="N492" s="12">
        <v>44</v>
      </c>
      <c r="O492" s="12" t="s">
        <v>21</v>
      </c>
      <c r="P492" s="12">
        <v>5.5</v>
      </c>
      <c r="Q492" s="12" t="s">
        <v>23</v>
      </c>
    </row>
    <row r="493" spans="1:17" x14ac:dyDescent="0.3">
      <c r="A493" s="12" t="s">
        <v>1056</v>
      </c>
      <c r="B493" s="12" t="s">
        <v>1057</v>
      </c>
      <c r="C493" s="12" t="s">
        <v>19</v>
      </c>
      <c r="D493" s="12">
        <v>37</v>
      </c>
      <c r="E493" s="12" t="s">
        <v>80</v>
      </c>
      <c r="F493" s="12" t="s">
        <v>13</v>
      </c>
      <c r="G493" s="12" t="s">
        <v>107</v>
      </c>
      <c r="H493" s="12" t="s">
        <v>77</v>
      </c>
      <c r="I493" s="12">
        <v>13</v>
      </c>
      <c r="J493" s="12">
        <v>43494</v>
      </c>
      <c r="K493" s="12">
        <v>67.52</v>
      </c>
      <c r="L493" s="12">
        <v>18</v>
      </c>
      <c r="M493" s="12">
        <v>0</v>
      </c>
      <c r="N493" s="12">
        <v>33</v>
      </c>
      <c r="O493" s="12" t="s">
        <v>22</v>
      </c>
      <c r="P493" s="12">
        <v>8.32</v>
      </c>
      <c r="Q493" s="12" t="s">
        <v>23</v>
      </c>
    </row>
    <row r="494" spans="1:17" x14ac:dyDescent="0.3">
      <c r="A494" s="12" t="s">
        <v>1058</v>
      </c>
      <c r="B494" s="12" t="s">
        <v>1059</v>
      </c>
      <c r="C494" s="12" t="s">
        <v>18</v>
      </c>
      <c r="D494" s="12">
        <v>46</v>
      </c>
      <c r="E494" s="12" t="s">
        <v>60</v>
      </c>
      <c r="F494" s="12" t="s">
        <v>15</v>
      </c>
      <c r="G494" s="12" t="s">
        <v>61</v>
      </c>
      <c r="H494" s="12" t="s">
        <v>77</v>
      </c>
      <c r="I494" s="12">
        <v>4</v>
      </c>
      <c r="J494" s="12">
        <v>118844</v>
      </c>
      <c r="K494" s="12">
        <v>75.28</v>
      </c>
      <c r="L494" s="12">
        <v>4</v>
      </c>
      <c r="M494" s="12">
        <v>50</v>
      </c>
      <c r="N494" s="12">
        <v>106</v>
      </c>
      <c r="O494" s="12" t="s">
        <v>22</v>
      </c>
      <c r="P494" s="12">
        <v>7.24</v>
      </c>
      <c r="Q494" s="12" t="s">
        <v>23</v>
      </c>
    </row>
    <row r="495" spans="1:17" x14ac:dyDescent="0.3">
      <c r="A495" s="12" t="s">
        <v>1060</v>
      </c>
      <c r="B495" s="12" t="s">
        <v>1061</v>
      </c>
      <c r="C495" s="12" t="s">
        <v>18</v>
      </c>
      <c r="D495" s="12">
        <v>49</v>
      </c>
      <c r="E495" s="12" t="s">
        <v>69</v>
      </c>
      <c r="F495" s="12" t="s">
        <v>15</v>
      </c>
      <c r="G495" s="12" t="s">
        <v>61</v>
      </c>
      <c r="H495" s="12" t="s">
        <v>57</v>
      </c>
      <c r="I495" s="12">
        <v>13</v>
      </c>
      <c r="J495" s="12">
        <v>65615</v>
      </c>
      <c r="K495" s="12">
        <v>70.23</v>
      </c>
      <c r="L495" s="12">
        <v>8</v>
      </c>
      <c r="M495" s="12">
        <v>16</v>
      </c>
      <c r="N495" s="12">
        <v>47</v>
      </c>
      <c r="O495" s="12" t="s">
        <v>21</v>
      </c>
      <c r="P495" s="12">
        <v>5.65</v>
      </c>
      <c r="Q495" s="12" t="s">
        <v>23</v>
      </c>
    </row>
    <row r="496" spans="1:17" x14ac:dyDescent="0.3">
      <c r="A496" s="12" t="s">
        <v>1062</v>
      </c>
      <c r="B496" s="12" t="s">
        <v>1063</v>
      </c>
      <c r="C496" s="12" t="s">
        <v>19</v>
      </c>
      <c r="D496" s="12">
        <v>51</v>
      </c>
      <c r="E496" s="12" t="s">
        <v>65</v>
      </c>
      <c r="F496" s="12" t="s">
        <v>13</v>
      </c>
      <c r="G496" s="12" t="s">
        <v>56</v>
      </c>
      <c r="H496" s="12" t="s">
        <v>77</v>
      </c>
      <c r="I496" s="12">
        <v>20</v>
      </c>
      <c r="J496" s="12">
        <v>45245</v>
      </c>
      <c r="K496" s="12">
        <v>95.86</v>
      </c>
      <c r="L496" s="12">
        <v>9</v>
      </c>
      <c r="M496" s="12">
        <v>29</v>
      </c>
      <c r="N496" s="12">
        <v>66</v>
      </c>
      <c r="O496" s="12" t="s">
        <v>21</v>
      </c>
      <c r="P496" s="12">
        <v>8.2899999999999991</v>
      </c>
      <c r="Q496" s="12" t="s">
        <v>23</v>
      </c>
    </row>
    <row r="497" spans="1:17" x14ac:dyDescent="0.3">
      <c r="A497" s="12" t="s">
        <v>1064</v>
      </c>
      <c r="B497" s="12" t="s">
        <v>1065</v>
      </c>
      <c r="C497" s="12" t="s">
        <v>18</v>
      </c>
      <c r="D497" s="12">
        <v>45</v>
      </c>
      <c r="E497" s="12" t="s">
        <v>69</v>
      </c>
      <c r="F497" s="12" t="s">
        <v>17</v>
      </c>
      <c r="G497" s="12" t="s">
        <v>135</v>
      </c>
      <c r="H497" s="12" t="s">
        <v>77</v>
      </c>
      <c r="I497" s="12">
        <v>23</v>
      </c>
      <c r="J497" s="12">
        <v>68938</v>
      </c>
      <c r="K497" s="12">
        <v>73.28</v>
      </c>
      <c r="L497" s="12">
        <v>6</v>
      </c>
      <c r="M497" s="12">
        <v>28</v>
      </c>
      <c r="N497" s="12">
        <v>101</v>
      </c>
      <c r="O497" s="12" t="s">
        <v>20</v>
      </c>
      <c r="P497" s="12">
        <v>8.48</v>
      </c>
      <c r="Q497" s="12" t="s">
        <v>23</v>
      </c>
    </row>
    <row r="498" spans="1:17" x14ac:dyDescent="0.3">
      <c r="A498" s="12" t="s">
        <v>1066</v>
      </c>
      <c r="B498" s="12" t="s">
        <v>1067</v>
      </c>
      <c r="C498" s="12" t="s">
        <v>19</v>
      </c>
      <c r="D498" s="12">
        <v>43</v>
      </c>
      <c r="E498" s="12" t="s">
        <v>65</v>
      </c>
      <c r="F498" s="12" t="s">
        <v>13</v>
      </c>
      <c r="G498" s="12" t="s">
        <v>107</v>
      </c>
      <c r="H498" s="12" t="s">
        <v>62</v>
      </c>
      <c r="I498" s="12">
        <v>5</v>
      </c>
      <c r="J498" s="12">
        <v>73175</v>
      </c>
      <c r="K498" s="12">
        <v>72.77</v>
      </c>
      <c r="L498" s="12">
        <v>15</v>
      </c>
      <c r="M498" s="12">
        <v>53</v>
      </c>
      <c r="N498" s="12">
        <v>33</v>
      </c>
      <c r="O498" s="12" t="s">
        <v>20</v>
      </c>
      <c r="P498" s="12">
        <v>5.59</v>
      </c>
      <c r="Q498" s="12" t="s">
        <v>23</v>
      </c>
    </row>
    <row r="499" spans="1:17" x14ac:dyDescent="0.3">
      <c r="A499" s="12" t="s">
        <v>1068</v>
      </c>
      <c r="B499" s="12" t="s">
        <v>1069</v>
      </c>
      <c r="C499" s="12" t="s">
        <v>19</v>
      </c>
      <c r="D499" s="12">
        <v>35</v>
      </c>
      <c r="E499" s="12" t="s">
        <v>91</v>
      </c>
      <c r="F499" s="12" t="s">
        <v>14</v>
      </c>
      <c r="G499" s="12" t="s">
        <v>110</v>
      </c>
      <c r="H499" s="12" t="s">
        <v>62</v>
      </c>
      <c r="I499" s="12">
        <v>3</v>
      </c>
      <c r="J499" s="12">
        <v>79943</v>
      </c>
      <c r="K499" s="12">
        <v>87.2</v>
      </c>
      <c r="L499" s="12">
        <v>4</v>
      </c>
      <c r="M499" s="12">
        <v>35</v>
      </c>
      <c r="N499" s="12">
        <v>49</v>
      </c>
      <c r="O499" s="12" t="s">
        <v>20</v>
      </c>
      <c r="P499" s="12">
        <v>6.63</v>
      </c>
      <c r="Q499" s="12" t="s">
        <v>23</v>
      </c>
    </row>
    <row r="500" spans="1:17" x14ac:dyDescent="0.3">
      <c r="A500" s="12" t="s">
        <v>1070</v>
      </c>
      <c r="B500" s="12" t="s">
        <v>1071</v>
      </c>
      <c r="C500" s="12" t="s">
        <v>19</v>
      </c>
      <c r="D500" s="12">
        <v>23</v>
      </c>
      <c r="E500" s="12" t="s">
        <v>60</v>
      </c>
      <c r="F500" s="12" t="s">
        <v>16</v>
      </c>
      <c r="G500" s="12" t="s">
        <v>76</v>
      </c>
      <c r="H500" s="12" t="s">
        <v>57</v>
      </c>
      <c r="I500" s="12">
        <v>2</v>
      </c>
      <c r="J500" s="12">
        <v>117471</v>
      </c>
      <c r="K500" s="12">
        <v>80.5</v>
      </c>
      <c r="L500" s="12">
        <v>19</v>
      </c>
      <c r="M500" s="12">
        <v>4</v>
      </c>
      <c r="N500" s="12">
        <v>29</v>
      </c>
      <c r="O500" s="12" t="s">
        <v>20</v>
      </c>
      <c r="P500" s="12">
        <v>7.12</v>
      </c>
      <c r="Q500" s="12" t="s">
        <v>23</v>
      </c>
    </row>
    <row r="501" spans="1:17" x14ac:dyDescent="0.3">
      <c r="A501" s="12" t="s">
        <v>1072</v>
      </c>
      <c r="B501" s="12" t="s">
        <v>1073</v>
      </c>
      <c r="C501" s="12" t="s">
        <v>18</v>
      </c>
      <c r="D501" s="12">
        <v>49</v>
      </c>
      <c r="E501" s="12" t="s">
        <v>60</v>
      </c>
      <c r="F501" s="12" t="s">
        <v>17</v>
      </c>
      <c r="G501" s="12" t="s">
        <v>102</v>
      </c>
      <c r="H501" s="12" t="s">
        <v>77</v>
      </c>
      <c r="I501" s="12">
        <v>12</v>
      </c>
      <c r="J501" s="12">
        <v>117492</v>
      </c>
      <c r="K501" s="12">
        <v>97.39</v>
      </c>
      <c r="L501" s="12">
        <v>10</v>
      </c>
      <c r="M501" s="12">
        <v>20</v>
      </c>
      <c r="N501" s="12">
        <v>27</v>
      </c>
      <c r="O501" s="12" t="s">
        <v>21</v>
      </c>
      <c r="P501" s="12">
        <v>6.4</v>
      </c>
      <c r="Q501" s="12" t="s">
        <v>23</v>
      </c>
    </row>
    <row r="502" spans="1:17" x14ac:dyDescent="0.3">
      <c r="A502" s="12" t="s">
        <v>1074</v>
      </c>
      <c r="B502" s="12" t="s">
        <v>1075</v>
      </c>
      <c r="C502" s="12" t="s">
        <v>18</v>
      </c>
      <c r="D502" s="12">
        <v>25</v>
      </c>
      <c r="E502" s="12" t="s">
        <v>80</v>
      </c>
      <c r="F502" s="12" t="s">
        <v>13</v>
      </c>
      <c r="G502" s="12" t="s">
        <v>107</v>
      </c>
      <c r="H502" s="12" t="s">
        <v>57</v>
      </c>
      <c r="I502" s="12">
        <v>3</v>
      </c>
      <c r="J502" s="12">
        <v>98054</v>
      </c>
      <c r="K502" s="12">
        <v>98.69</v>
      </c>
      <c r="L502" s="12">
        <v>11</v>
      </c>
      <c r="M502" s="12">
        <v>58</v>
      </c>
      <c r="N502" s="12">
        <v>109</v>
      </c>
      <c r="O502" s="12" t="s">
        <v>21</v>
      </c>
      <c r="P502" s="12">
        <v>8.02</v>
      </c>
      <c r="Q502" s="12" t="s">
        <v>23</v>
      </c>
    </row>
    <row r="503" spans="1:17" x14ac:dyDescent="0.3">
      <c r="A503" s="12" t="s">
        <v>1076</v>
      </c>
      <c r="B503" s="12" t="s">
        <v>1077</v>
      </c>
      <c r="C503" s="12" t="s">
        <v>18</v>
      </c>
      <c r="D503" s="12">
        <v>29</v>
      </c>
      <c r="E503" s="12" t="s">
        <v>91</v>
      </c>
      <c r="F503" s="12" t="s">
        <v>15</v>
      </c>
      <c r="G503" s="12" t="s">
        <v>73</v>
      </c>
      <c r="H503" s="12" t="s">
        <v>77</v>
      </c>
      <c r="I503" s="12">
        <v>2</v>
      </c>
      <c r="J503" s="12">
        <v>106954</v>
      </c>
      <c r="K503" s="12">
        <v>94.46</v>
      </c>
      <c r="L503" s="12">
        <v>17</v>
      </c>
      <c r="M503" s="12">
        <v>27</v>
      </c>
      <c r="N503" s="12">
        <v>22</v>
      </c>
      <c r="O503" s="12" t="s">
        <v>21</v>
      </c>
      <c r="P503" s="12">
        <v>7.37</v>
      </c>
      <c r="Q503" s="12" t="s">
        <v>23</v>
      </c>
    </row>
    <row r="504" spans="1:17" x14ac:dyDescent="0.3">
      <c r="A504" s="12" t="s">
        <v>1078</v>
      </c>
      <c r="B504" s="12" t="s">
        <v>1079</v>
      </c>
      <c r="C504" s="12" t="s">
        <v>18</v>
      </c>
      <c r="D504" s="12">
        <v>55</v>
      </c>
      <c r="E504" s="12" t="s">
        <v>55</v>
      </c>
      <c r="F504" s="12" t="s">
        <v>16</v>
      </c>
      <c r="G504" s="12" t="s">
        <v>76</v>
      </c>
      <c r="H504" s="12" t="s">
        <v>86</v>
      </c>
      <c r="I504" s="12">
        <v>9</v>
      </c>
      <c r="J504" s="12">
        <v>45558</v>
      </c>
      <c r="K504" s="12">
        <v>75.77</v>
      </c>
      <c r="L504" s="12">
        <v>17</v>
      </c>
      <c r="M504" s="12">
        <v>12</v>
      </c>
      <c r="N504" s="12">
        <v>71</v>
      </c>
      <c r="O504" s="12" t="s">
        <v>22</v>
      </c>
      <c r="P504" s="12">
        <v>8.68</v>
      </c>
      <c r="Q504" s="12" t="s">
        <v>24</v>
      </c>
    </row>
    <row r="505" spans="1:17" x14ac:dyDescent="0.3">
      <c r="A505" s="12" t="s">
        <v>1080</v>
      </c>
      <c r="B505" s="12" t="s">
        <v>1081</v>
      </c>
      <c r="C505" s="12" t="s">
        <v>18</v>
      </c>
      <c r="D505" s="12">
        <v>58</v>
      </c>
      <c r="E505" s="12" t="s">
        <v>69</v>
      </c>
      <c r="F505" s="12" t="s">
        <v>12</v>
      </c>
      <c r="G505" s="12" t="s">
        <v>152</v>
      </c>
      <c r="H505" s="12" t="s">
        <v>77</v>
      </c>
      <c r="I505" s="12">
        <v>36</v>
      </c>
      <c r="J505" s="12">
        <v>154977</v>
      </c>
      <c r="K505" s="12">
        <v>67.14</v>
      </c>
      <c r="L505" s="12">
        <v>16</v>
      </c>
      <c r="M505" s="12">
        <v>33</v>
      </c>
      <c r="N505" s="12">
        <v>88</v>
      </c>
      <c r="O505" s="12" t="s">
        <v>20</v>
      </c>
      <c r="P505" s="12">
        <v>8.7799999999999994</v>
      </c>
      <c r="Q505" s="12" t="s">
        <v>24</v>
      </c>
    </row>
    <row r="506" spans="1:17" x14ac:dyDescent="0.3">
      <c r="A506" s="12" t="s">
        <v>1082</v>
      </c>
      <c r="B506" s="12" t="s">
        <v>1083</v>
      </c>
      <c r="C506" s="12" t="s">
        <v>18</v>
      </c>
      <c r="D506" s="12">
        <v>42</v>
      </c>
      <c r="E506" s="12" t="s">
        <v>69</v>
      </c>
      <c r="F506" s="12" t="s">
        <v>15</v>
      </c>
      <c r="G506" s="12" t="s">
        <v>61</v>
      </c>
      <c r="H506" s="12" t="s">
        <v>86</v>
      </c>
      <c r="I506" s="12">
        <v>17</v>
      </c>
      <c r="J506" s="12">
        <v>63445</v>
      </c>
      <c r="K506" s="12">
        <v>79.09</v>
      </c>
      <c r="L506" s="12">
        <v>6</v>
      </c>
      <c r="M506" s="12">
        <v>54</v>
      </c>
      <c r="N506" s="12">
        <v>86</v>
      </c>
      <c r="O506" s="12" t="s">
        <v>20</v>
      </c>
      <c r="P506" s="12">
        <v>6.57</v>
      </c>
      <c r="Q506" s="12" t="s">
        <v>23</v>
      </c>
    </row>
    <row r="507" spans="1:17" x14ac:dyDescent="0.3">
      <c r="A507" s="12" t="s">
        <v>1084</v>
      </c>
      <c r="B507" s="12" t="s">
        <v>1085</v>
      </c>
      <c r="C507" s="12" t="s">
        <v>18</v>
      </c>
      <c r="D507" s="12">
        <v>35</v>
      </c>
      <c r="E507" s="12" t="s">
        <v>60</v>
      </c>
      <c r="F507" s="12" t="s">
        <v>13</v>
      </c>
      <c r="G507" s="12" t="s">
        <v>107</v>
      </c>
      <c r="H507" s="12" t="s">
        <v>86</v>
      </c>
      <c r="I507" s="12">
        <v>3</v>
      </c>
      <c r="J507" s="12">
        <v>46818</v>
      </c>
      <c r="K507" s="12">
        <v>96.38</v>
      </c>
      <c r="L507" s="12">
        <v>9</v>
      </c>
      <c r="M507" s="12">
        <v>9</v>
      </c>
      <c r="N507" s="12">
        <v>52</v>
      </c>
      <c r="O507" s="12" t="s">
        <v>22</v>
      </c>
      <c r="P507" s="12">
        <v>7.33</v>
      </c>
      <c r="Q507" s="12" t="s">
        <v>23</v>
      </c>
    </row>
    <row r="508" spans="1:17" x14ac:dyDescent="0.3">
      <c r="A508" s="12" t="s">
        <v>1086</v>
      </c>
      <c r="B508" s="12" t="s">
        <v>1087</v>
      </c>
      <c r="C508" s="12" t="s">
        <v>18</v>
      </c>
      <c r="D508" s="12">
        <v>53</v>
      </c>
      <c r="E508" s="12" t="s">
        <v>91</v>
      </c>
      <c r="F508" s="12" t="s">
        <v>15</v>
      </c>
      <c r="G508" s="12" t="s">
        <v>130</v>
      </c>
      <c r="H508" s="12" t="s">
        <v>62</v>
      </c>
      <c r="I508" s="12">
        <v>9</v>
      </c>
      <c r="J508" s="12">
        <v>37021</v>
      </c>
      <c r="K508" s="12">
        <v>81.62</v>
      </c>
      <c r="L508" s="12">
        <v>17</v>
      </c>
      <c r="M508" s="12">
        <v>1</v>
      </c>
      <c r="N508" s="12">
        <v>110</v>
      </c>
      <c r="O508" s="12" t="s">
        <v>21</v>
      </c>
      <c r="P508" s="12">
        <v>9.0299999999999994</v>
      </c>
      <c r="Q508" s="12" t="s">
        <v>24</v>
      </c>
    </row>
    <row r="509" spans="1:17" x14ac:dyDescent="0.3">
      <c r="A509" s="12" t="s">
        <v>1088</v>
      </c>
      <c r="B509" s="12" t="s">
        <v>1089</v>
      </c>
      <c r="C509" s="12" t="s">
        <v>18</v>
      </c>
      <c r="D509" s="12">
        <v>48</v>
      </c>
      <c r="E509" s="12" t="s">
        <v>80</v>
      </c>
      <c r="F509" s="12" t="s">
        <v>17</v>
      </c>
      <c r="G509" s="12" t="s">
        <v>99</v>
      </c>
      <c r="H509" s="12" t="s">
        <v>86</v>
      </c>
      <c r="I509" s="12">
        <v>22</v>
      </c>
      <c r="J509" s="12">
        <v>60937</v>
      </c>
      <c r="K509" s="12">
        <v>91.63</v>
      </c>
      <c r="L509" s="12">
        <v>18</v>
      </c>
      <c r="M509" s="12">
        <v>8</v>
      </c>
      <c r="N509" s="12">
        <v>66</v>
      </c>
      <c r="O509" s="12" t="s">
        <v>20</v>
      </c>
      <c r="P509" s="12">
        <v>9.2100000000000009</v>
      </c>
      <c r="Q509" s="12" t="s">
        <v>24</v>
      </c>
    </row>
    <row r="510" spans="1:17" x14ac:dyDescent="0.3">
      <c r="A510" s="12" t="s">
        <v>1090</v>
      </c>
      <c r="B510" s="12" t="s">
        <v>1091</v>
      </c>
      <c r="C510" s="12" t="s">
        <v>18</v>
      </c>
      <c r="D510" s="12">
        <v>24</v>
      </c>
      <c r="E510" s="12" t="s">
        <v>69</v>
      </c>
      <c r="F510" s="12" t="s">
        <v>12</v>
      </c>
      <c r="G510" s="12" t="s">
        <v>92</v>
      </c>
      <c r="H510" s="12" t="s">
        <v>77</v>
      </c>
      <c r="I510" s="12">
        <v>0</v>
      </c>
      <c r="J510" s="12">
        <v>115812</v>
      </c>
      <c r="K510" s="12">
        <v>80.040000000000006</v>
      </c>
      <c r="L510" s="12">
        <v>9</v>
      </c>
      <c r="M510" s="12">
        <v>37</v>
      </c>
      <c r="N510" s="12">
        <v>41</v>
      </c>
      <c r="O510" s="12" t="s">
        <v>21</v>
      </c>
      <c r="P510" s="12">
        <v>5.09</v>
      </c>
      <c r="Q510" s="12" t="s">
        <v>23</v>
      </c>
    </row>
    <row r="511" spans="1:17" x14ac:dyDescent="0.3">
      <c r="A511" s="12" t="s">
        <v>1092</v>
      </c>
      <c r="B511" s="12" t="s">
        <v>1093</v>
      </c>
      <c r="C511" s="12" t="s">
        <v>18</v>
      </c>
      <c r="D511" s="12">
        <v>38</v>
      </c>
      <c r="E511" s="12" t="s">
        <v>91</v>
      </c>
      <c r="F511" s="12" t="s">
        <v>16</v>
      </c>
      <c r="G511" s="12" t="s">
        <v>271</v>
      </c>
      <c r="H511" s="12" t="s">
        <v>77</v>
      </c>
      <c r="I511" s="12">
        <v>3</v>
      </c>
      <c r="J511" s="12">
        <v>97980</v>
      </c>
      <c r="K511" s="12">
        <v>89.84</v>
      </c>
      <c r="L511" s="12">
        <v>16</v>
      </c>
      <c r="M511" s="12">
        <v>47</v>
      </c>
      <c r="N511" s="12">
        <v>31</v>
      </c>
      <c r="O511" s="12" t="s">
        <v>21</v>
      </c>
      <c r="P511" s="12">
        <v>7.85</v>
      </c>
      <c r="Q511" s="12" t="s">
        <v>23</v>
      </c>
    </row>
    <row r="512" spans="1:17" x14ac:dyDescent="0.3">
      <c r="A512" s="12" t="s">
        <v>1094</v>
      </c>
      <c r="B512" s="12" t="s">
        <v>1095</v>
      </c>
      <c r="C512" s="12" t="s">
        <v>18</v>
      </c>
      <c r="D512" s="12">
        <v>48</v>
      </c>
      <c r="E512" s="12" t="s">
        <v>69</v>
      </c>
      <c r="F512" s="12" t="s">
        <v>12</v>
      </c>
      <c r="G512" s="12" t="s">
        <v>119</v>
      </c>
      <c r="H512" s="12" t="s">
        <v>62</v>
      </c>
      <c r="I512" s="12">
        <v>2</v>
      </c>
      <c r="J512" s="12">
        <v>145250</v>
      </c>
      <c r="K512" s="12">
        <v>90.07</v>
      </c>
      <c r="L512" s="12">
        <v>12</v>
      </c>
      <c r="M512" s="12">
        <v>7</v>
      </c>
      <c r="N512" s="12">
        <v>13</v>
      </c>
      <c r="O512" s="12" t="s">
        <v>22</v>
      </c>
      <c r="P512" s="12">
        <v>7.52</v>
      </c>
      <c r="Q512" s="12" t="s">
        <v>23</v>
      </c>
    </row>
    <row r="513" spans="1:17" x14ac:dyDescent="0.3">
      <c r="A513" s="12" t="s">
        <v>1096</v>
      </c>
      <c r="B513" s="12" t="s">
        <v>1097</v>
      </c>
      <c r="C513" s="12" t="s">
        <v>19</v>
      </c>
      <c r="D513" s="12">
        <v>53</v>
      </c>
      <c r="E513" s="12" t="s">
        <v>69</v>
      </c>
      <c r="F513" s="12" t="s">
        <v>14</v>
      </c>
      <c r="G513" s="12" t="s">
        <v>85</v>
      </c>
      <c r="H513" s="12" t="s">
        <v>62</v>
      </c>
      <c r="I513" s="12">
        <v>5</v>
      </c>
      <c r="J513" s="12">
        <v>98616</v>
      </c>
      <c r="K513" s="12">
        <v>87.79</v>
      </c>
      <c r="L513" s="12">
        <v>5</v>
      </c>
      <c r="M513" s="12">
        <v>31</v>
      </c>
      <c r="N513" s="12">
        <v>119</v>
      </c>
      <c r="O513" s="12" t="s">
        <v>21</v>
      </c>
      <c r="P513" s="12">
        <v>6.76</v>
      </c>
      <c r="Q513" s="12" t="s">
        <v>23</v>
      </c>
    </row>
    <row r="514" spans="1:17" x14ac:dyDescent="0.3">
      <c r="A514" s="12" t="s">
        <v>1098</v>
      </c>
      <c r="B514" s="12" t="s">
        <v>1099</v>
      </c>
      <c r="C514" s="12" t="s">
        <v>19</v>
      </c>
      <c r="D514" s="12">
        <v>39</v>
      </c>
      <c r="E514" s="12" t="s">
        <v>80</v>
      </c>
      <c r="F514" s="12" t="s">
        <v>15</v>
      </c>
      <c r="G514" s="12" t="s">
        <v>130</v>
      </c>
      <c r="H514" s="12" t="s">
        <v>62</v>
      </c>
      <c r="I514" s="12">
        <v>18</v>
      </c>
      <c r="J514" s="12">
        <v>126186</v>
      </c>
      <c r="K514" s="12">
        <v>82.02</v>
      </c>
      <c r="L514" s="12">
        <v>15</v>
      </c>
      <c r="M514" s="12">
        <v>42</v>
      </c>
      <c r="N514" s="12">
        <v>40</v>
      </c>
      <c r="O514" s="12" t="s">
        <v>21</v>
      </c>
      <c r="P514" s="12">
        <v>7.17</v>
      </c>
      <c r="Q514" s="12" t="s">
        <v>23</v>
      </c>
    </row>
    <row r="515" spans="1:17" x14ac:dyDescent="0.3">
      <c r="A515" s="12" t="s">
        <v>1100</v>
      </c>
      <c r="B515" s="12" t="s">
        <v>1101</v>
      </c>
      <c r="C515" s="12" t="s">
        <v>19</v>
      </c>
      <c r="D515" s="12">
        <v>50</v>
      </c>
      <c r="E515" s="12" t="s">
        <v>69</v>
      </c>
      <c r="F515" s="12" t="s">
        <v>17</v>
      </c>
      <c r="G515" s="12" t="s">
        <v>99</v>
      </c>
      <c r="H515" s="12" t="s">
        <v>77</v>
      </c>
      <c r="I515" s="12">
        <v>26</v>
      </c>
      <c r="J515" s="12">
        <v>73122</v>
      </c>
      <c r="K515" s="12">
        <v>93.38</v>
      </c>
      <c r="L515" s="12">
        <v>18</v>
      </c>
      <c r="M515" s="12">
        <v>4</v>
      </c>
      <c r="N515" s="12">
        <v>77</v>
      </c>
      <c r="O515" s="12" t="s">
        <v>22</v>
      </c>
      <c r="P515" s="12">
        <v>9.7899999999999991</v>
      </c>
      <c r="Q515" s="12" t="s">
        <v>24</v>
      </c>
    </row>
    <row r="516" spans="1:17" x14ac:dyDescent="0.3">
      <c r="A516" s="12" t="s">
        <v>1102</v>
      </c>
      <c r="B516" s="12" t="s">
        <v>1103</v>
      </c>
      <c r="C516" s="12" t="s">
        <v>19</v>
      </c>
      <c r="D516" s="12">
        <v>50</v>
      </c>
      <c r="E516" s="12" t="s">
        <v>91</v>
      </c>
      <c r="F516" s="12" t="s">
        <v>16</v>
      </c>
      <c r="G516" s="12" t="s">
        <v>181</v>
      </c>
      <c r="H516" s="12" t="s">
        <v>57</v>
      </c>
      <c r="I516" s="12">
        <v>22</v>
      </c>
      <c r="J516" s="12">
        <v>38245</v>
      </c>
      <c r="K516" s="12">
        <v>76.62</v>
      </c>
      <c r="L516" s="12">
        <v>20</v>
      </c>
      <c r="M516" s="12">
        <v>21</v>
      </c>
      <c r="N516" s="12">
        <v>37</v>
      </c>
      <c r="O516" s="12" t="s">
        <v>21</v>
      </c>
      <c r="P516" s="12">
        <v>9.39</v>
      </c>
      <c r="Q516" s="12" t="s">
        <v>24</v>
      </c>
    </row>
    <row r="517" spans="1:17" x14ac:dyDescent="0.3">
      <c r="A517" s="12" t="s">
        <v>1104</v>
      </c>
      <c r="B517" s="12" t="s">
        <v>1105</v>
      </c>
      <c r="C517" s="12" t="s">
        <v>19</v>
      </c>
      <c r="D517" s="12">
        <v>37</v>
      </c>
      <c r="E517" s="12" t="s">
        <v>91</v>
      </c>
      <c r="F517" s="12" t="s">
        <v>15</v>
      </c>
      <c r="G517" s="12" t="s">
        <v>61</v>
      </c>
      <c r="H517" s="12" t="s">
        <v>86</v>
      </c>
      <c r="I517" s="12">
        <v>10</v>
      </c>
      <c r="J517" s="12">
        <v>125255</v>
      </c>
      <c r="K517" s="12">
        <v>69.39</v>
      </c>
      <c r="L517" s="12">
        <v>1</v>
      </c>
      <c r="M517" s="12">
        <v>9</v>
      </c>
      <c r="N517" s="12">
        <v>60</v>
      </c>
      <c r="O517" s="12" t="s">
        <v>20</v>
      </c>
      <c r="P517" s="12">
        <v>6.17</v>
      </c>
      <c r="Q517" s="12" t="s">
        <v>23</v>
      </c>
    </row>
    <row r="518" spans="1:17" x14ac:dyDescent="0.3">
      <c r="A518" s="12" t="s">
        <v>1106</v>
      </c>
      <c r="B518" s="12" t="s">
        <v>1107</v>
      </c>
      <c r="C518" s="12" t="s">
        <v>18</v>
      </c>
      <c r="D518" s="12">
        <v>56</v>
      </c>
      <c r="E518" s="12" t="s">
        <v>80</v>
      </c>
      <c r="F518" s="12" t="s">
        <v>15</v>
      </c>
      <c r="G518" s="12" t="s">
        <v>130</v>
      </c>
      <c r="H518" s="12" t="s">
        <v>62</v>
      </c>
      <c r="I518" s="12">
        <v>28</v>
      </c>
      <c r="J518" s="12">
        <v>95227</v>
      </c>
      <c r="K518" s="12">
        <v>78.83</v>
      </c>
      <c r="L518" s="12">
        <v>5</v>
      </c>
      <c r="M518" s="12">
        <v>18</v>
      </c>
      <c r="N518" s="12">
        <v>32</v>
      </c>
      <c r="O518" s="12" t="s">
        <v>22</v>
      </c>
      <c r="P518" s="12">
        <v>7.07</v>
      </c>
      <c r="Q518" s="12" t="s">
        <v>23</v>
      </c>
    </row>
    <row r="519" spans="1:17" x14ac:dyDescent="0.3">
      <c r="A519" s="12" t="s">
        <v>1108</v>
      </c>
      <c r="B519" s="12" t="s">
        <v>1109</v>
      </c>
      <c r="C519" s="12" t="s">
        <v>18</v>
      </c>
      <c r="D519" s="12">
        <v>37</v>
      </c>
      <c r="E519" s="12" t="s">
        <v>69</v>
      </c>
      <c r="F519" s="12" t="s">
        <v>15</v>
      </c>
      <c r="G519" s="12" t="s">
        <v>61</v>
      </c>
      <c r="H519" s="12" t="s">
        <v>57</v>
      </c>
      <c r="I519" s="12">
        <v>16</v>
      </c>
      <c r="J519" s="12">
        <v>75536</v>
      </c>
      <c r="K519" s="12">
        <v>77.41</v>
      </c>
      <c r="L519" s="12">
        <v>16</v>
      </c>
      <c r="M519" s="12">
        <v>51</v>
      </c>
      <c r="N519" s="12">
        <v>94</v>
      </c>
      <c r="O519" s="12" t="s">
        <v>20</v>
      </c>
      <c r="P519" s="12">
        <v>9.33</v>
      </c>
      <c r="Q519" s="12" t="s">
        <v>24</v>
      </c>
    </row>
    <row r="520" spans="1:17" x14ac:dyDescent="0.3">
      <c r="A520" s="12" t="s">
        <v>1110</v>
      </c>
      <c r="B520" s="12" t="s">
        <v>1111</v>
      </c>
      <c r="C520" s="12" t="s">
        <v>19</v>
      </c>
      <c r="D520" s="12">
        <v>54</v>
      </c>
      <c r="E520" s="12" t="s">
        <v>80</v>
      </c>
      <c r="F520" s="12" t="s">
        <v>14</v>
      </c>
      <c r="G520" s="12" t="s">
        <v>248</v>
      </c>
      <c r="H520" s="12" t="s">
        <v>57</v>
      </c>
      <c r="I520" s="12">
        <v>20</v>
      </c>
      <c r="J520" s="12">
        <v>128592</v>
      </c>
      <c r="K520" s="12">
        <v>86.63</v>
      </c>
      <c r="L520" s="12">
        <v>5</v>
      </c>
      <c r="M520" s="12">
        <v>34</v>
      </c>
      <c r="N520" s="12">
        <v>30</v>
      </c>
      <c r="O520" s="12" t="s">
        <v>21</v>
      </c>
      <c r="P520" s="12">
        <v>5.74</v>
      </c>
      <c r="Q520" s="12" t="s">
        <v>23</v>
      </c>
    </row>
    <row r="521" spans="1:17" x14ac:dyDescent="0.3">
      <c r="A521" s="12" t="s">
        <v>1112</v>
      </c>
      <c r="B521" s="12" t="s">
        <v>1113</v>
      </c>
      <c r="C521" s="12" t="s">
        <v>19</v>
      </c>
      <c r="D521" s="12">
        <v>58</v>
      </c>
      <c r="E521" s="12" t="s">
        <v>91</v>
      </c>
      <c r="F521" s="12" t="s">
        <v>14</v>
      </c>
      <c r="G521" s="12" t="s">
        <v>248</v>
      </c>
      <c r="H521" s="12" t="s">
        <v>77</v>
      </c>
      <c r="I521" s="12">
        <v>4</v>
      </c>
      <c r="J521" s="12">
        <v>62400</v>
      </c>
      <c r="K521" s="12">
        <v>69.709999999999994</v>
      </c>
      <c r="L521" s="12">
        <v>9</v>
      </c>
      <c r="M521" s="12">
        <v>7</v>
      </c>
      <c r="N521" s="12">
        <v>36</v>
      </c>
      <c r="O521" s="12" t="s">
        <v>20</v>
      </c>
      <c r="P521" s="12">
        <v>6.43</v>
      </c>
      <c r="Q521" s="12" t="s">
        <v>23</v>
      </c>
    </row>
    <row r="522" spans="1:17" x14ac:dyDescent="0.3">
      <c r="A522" s="12" t="s">
        <v>1114</v>
      </c>
      <c r="B522" s="12" t="s">
        <v>1115</v>
      </c>
      <c r="C522" s="12" t="s">
        <v>19</v>
      </c>
      <c r="D522" s="12">
        <v>35</v>
      </c>
      <c r="E522" s="12" t="s">
        <v>80</v>
      </c>
      <c r="F522" s="12" t="s">
        <v>13</v>
      </c>
      <c r="G522" s="12" t="s">
        <v>56</v>
      </c>
      <c r="H522" s="12" t="s">
        <v>62</v>
      </c>
      <c r="I522" s="12">
        <v>0</v>
      </c>
      <c r="J522" s="12">
        <v>79803</v>
      </c>
      <c r="K522" s="12">
        <v>74.180000000000007</v>
      </c>
      <c r="L522" s="12">
        <v>3</v>
      </c>
      <c r="M522" s="12">
        <v>35</v>
      </c>
      <c r="N522" s="12">
        <v>44</v>
      </c>
      <c r="O522" s="12" t="s">
        <v>20</v>
      </c>
      <c r="P522" s="12">
        <v>4.09</v>
      </c>
      <c r="Q522" s="12" t="s">
        <v>23</v>
      </c>
    </row>
    <row r="523" spans="1:17" x14ac:dyDescent="0.3">
      <c r="A523" s="12" t="s">
        <v>1116</v>
      </c>
      <c r="B523" s="12" t="s">
        <v>1117</v>
      </c>
      <c r="C523" s="12" t="s">
        <v>19</v>
      </c>
      <c r="D523" s="12">
        <v>42</v>
      </c>
      <c r="E523" s="12" t="s">
        <v>55</v>
      </c>
      <c r="F523" s="12" t="s">
        <v>13</v>
      </c>
      <c r="G523" s="12" t="s">
        <v>107</v>
      </c>
      <c r="H523" s="12" t="s">
        <v>57</v>
      </c>
      <c r="I523" s="12">
        <v>19</v>
      </c>
      <c r="J523" s="12">
        <v>40960</v>
      </c>
      <c r="K523" s="12">
        <v>68.569999999999993</v>
      </c>
      <c r="L523" s="12">
        <v>14</v>
      </c>
      <c r="M523" s="12">
        <v>6</v>
      </c>
      <c r="N523" s="12">
        <v>96</v>
      </c>
      <c r="O523" s="12" t="s">
        <v>21</v>
      </c>
      <c r="P523" s="12">
        <v>8.23</v>
      </c>
      <c r="Q523" s="12" t="s">
        <v>23</v>
      </c>
    </row>
    <row r="524" spans="1:17" x14ac:dyDescent="0.3">
      <c r="A524" s="12" t="s">
        <v>1118</v>
      </c>
      <c r="B524" s="12" t="s">
        <v>1119</v>
      </c>
      <c r="C524" s="12" t="s">
        <v>19</v>
      </c>
      <c r="D524" s="12">
        <v>22</v>
      </c>
      <c r="E524" s="12" t="s">
        <v>65</v>
      </c>
      <c r="F524" s="12" t="s">
        <v>14</v>
      </c>
      <c r="G524" s="12" t="s">
        <v>248</v>
      </c>
      <c r="H524" s="12" t="s">
        <v>86</v>
      </c>
      <c r="I524" s="12">
        <v>1</v>
      </c>
      <c r="J524" s="12">
        <v>143825</v>
      </c>
      <c r="K524" s="12">
        <v>97.62</v>
      </c>
      <c r="L524" s="12">
        <v>3</v>
      </c>
      <c r="M524" s="12">
        <v>32</v>
      </c>
      <c r="N524" s="12">
        <v>33</v>
      </c>
      <c r="O524" s="12" t="s">
        <v>22</v>
      </c>
      <c r="P524" s="12">
        <v>4.78</v>
      </c>
      <c r="Q524" s="12" t="s">
        <v>23</v>
      </c>
    </row>
    <row r="525" spans="1:17" x14ac:dyDescent="0.3">
      <c r="A525" s="12" t="s">
        <v>1120</v>
      </c>
      <c r="B525" s="12" t="s">
        <v>1121</v>
      </c>
      <c r="C525" s="12" t="s">
        <v>19</v>
      </c>
      <c r="D525" s="12">
        <v>33</v>
      </c>
      <c r="E525" s="12" t="s">
        <v>55</v>
      </c>
      <c r="F525" s="12" t="s">
        <v>14</v>
      </c>
      <c r="G525" s="12" t="s">
        <v>248</v>
      </c>
      <c r="H525" s="12" t="s">
        <v>62</v>
      </c>
      <c r="I525" s="12">
        <v>5</v>
      </c>
      <c r="J525" s="12">
        <v>103100</v>
      </c>
      <c r="K525" s="12">
        <v>68.790000000000006</v>
      </c>
      <c r="L525" s="12">
        <v>19</v>
      </c>
      <c r="M525" s="12">
        <v>3</v>
      </c>
      <c r="N525" s="12">
        <v>112</v>
      </c>
      <c r="O525" s="12" t="s">
        <v>21</v>
      </c>
      <c r="P525" s="12">
        <v>8.8000000000000007</v>
      </c>
      <c r="Q525" s="12" t="s">
        <v>24</v>
      </c>
    </row>
    <row r="526" spans="1:17" x14ac:dyDescent="0.3">
      <c r="A526" s="12" t="s">
        <v>1122</v>
      </c>
      <c r="B526" s="12" t="s">
        <v>1123</v>
      </c>
      <c r="C526" s="12" t="s">
        <v>19</v>
      </c>
      <c r="D526" s="12">
        <v>55</v>
      </c>
      <c r="E526" s="12" t="s">
        <v>55</v>
      </c>
      <c r="F526" s="12" t="s">
        <v>15</v>
      </c>
      <c r="G526" s="12" t="s">
        <v>130</v>
      </c>
      <c r="H526" s="12" t="s">
        <v>62</v>
      </c>
      <c r="I526" s="12">
        <v>18</v>
      </c>
      <c r="J526" s="12">
        <v>42969</v>
      </c>
      <c r="K526" s="12">
        <v>81.790000000000006</v>
      </c>
      <c r="L526" s="12">
        <v>20</v>
      </c>
      <c r="M526" s="12">
        <v>45</v>
      </c>
      <c r="N526" s="12">
        <v>71</v>
      </c>
      <c r="O526" s="12" t="s">
        <v>20</v>
      </c>
      <c r="P526" s="12">
        <v>8.1999999999999993</v>
      </c>
      <c r="Q526" s="12" t="s">
        <v>23</v>
      </c>
    </row>
    <row r="527" spans="1:17" x14ac:dyDescent="0.3">
      <c r="A527" s="12" t="s">
        <v>1124</v>
      </c>
      <c r="B527" s="12" t="s">
        <v>1125</v>
      </c>
      <c r="C527" s="12" t="s">
        <v>19</v>
      </c>
      <c r="D527" s="12">
        <v>50</v>
      </c>
      <c r="E527" s="12" t="s">
        <v>65</v>
      </c>
      <c r="F527" s="12" t="s">
        <v>17</v>
      </c>
      <c r="G527" s="12" t="s">
        <v>102</v>
      </c>
      <c r="H527" s="12" t="s">
        <v>77</v>
      </c>
      <c r="I527" s="12">
        <v>24</v>
      </c>
      <c r="J527" s="12">
        <v>101384</v>
      </c>
      <c r="K527" s="12">
        <v>94.75</v>
      </c>
      <c r="L527" s="12">
        <v>14</v>
      </c>
      <c r="M527" s="12">
        <v>19</v>
      </c>
      <c r="N527" s="12">
        <v>115</v>
      </c>
      <c r="O527" s="12" t="s">
        <v>21</v>
      </c>
      <c r="P527" s="12">
        <v>10</v>
      </c>
      <c r="Q527" s="12" t="s">
        <v>24</v>
      </c>
    </row>
    <row r="528" spans="1:17" x14ac:dyDescent="0.3">
      <c r="A528" s="12" t="s">
        <v>1126</v>
      </c>
      <c r="B528" s="12" t="s">
        <v>1127</v>
      </c>
      <c r="C528" s="12" t="s">
        <v>18</v>
      </c>
      <c r="D528" s="12">
        <v>32</v>
      </c>
      <c r="E528" s="12" t="s">
        <v>91</v>
      </c>
      <c r="F528" s="12" t="s">
        <v>12</v>
      </c>
      <c r="G528" s="12" t="s">
        <v>152</v>
      </c>
      <c r="H528" s="12" t="s">
        <v>62</v>
      </c>
      <c r="I528" s="12">
        <v>8</v>
      </c>
      <c r="J528" s="12">
        <v>155205</v>
      </c>
      <c r="K528" s="12">
        <v>97.82</v>
      </c>
      <c r="L528" s="12">
        <v>2</v>
      </c>
      <c r="M528" s="12">
        <v>10</v>
      </c>
      <c r="N528" s="12">
        <v>39</v>
      </c>
      <c r="O528" s="12" t="s">
        <v>21</v>
      </c>
      <c r="P528" s="12">
        <v>5.34</v>
      </c>
      <c r="Q528" s="12" t="s">
        <v>23</v>
      </c>
    </row>
    <row r="529" spans="1:17" x14ac:dyDescent="0.3">
      <c r="A529" s="12" t="s">
        <v>1128</v>
      </c>
      <c r="B529" s="12" t="s">
        <v>1129</v>
      </c>
      <c r="C529" s="12" t="s">
        <v>18</v>
      </c>
      <c r="D529" s="12">
        <v>26</v>
      </c>
      <c r="E529" s="12" t="s">
        <v>60</v>
      </c>
      <c r="F529" s="12" t="s">
        <v>15</v>
      </c>
      <c r="G529" s="12" t="s">
        <v>61</v>
      </c>
      <c r="H529" s="12" t="s">
        <v>62</v>
      </c>
      <c r="I529" s="12">
        <v>0</v>
      </c>
      <c r="J529" s="12">
        <v>71409</v>
      </c>
      <c r="K529" s="12">
        <v>65.14</v>
      </c>
      <c r="L529" s="12">
        <v>15</v>
      </c>
      <c r="M529" s="12">
        <v>55</v>
      </c>
      <c r="N529" s="12">
        <v>71</v>
      </c>
      <c r="O529" s="12" t="s">
        <v>22</v>
      </c>
      <c r="P529" s="12">
        <v>7.23</v>
      </c>
      <c r="Q529" s="12" t="s">
        <v>23</v>
      </c>
    </row>
    <row r="530" spans="1:17" x14ac:dyDescent="0.3">
      <c r="A530" s="12" t="s">
        <v>1130</v>
      </c>
      <c r="B530" s="12" t="s">
        <v>1131</v>
      </c>
      <c r="C530" s="12" t="s">
        <v>18</v>
      </c>
      <c r="D530" s="12">
        <v>35</v>
      </c>
      <c r="E530" s="12" t="s">
        <v>69</v>
      </c>
      <c r="F530" s="12" t="s">
        <v>14</v>
      </c>
      <c r="G530" s="12" t="s">
        <v>110</v>
      </c>
      <c r="H530" s="12" t="s">
        <v>86</v>
      </c>
      <c r="I530" s="12">
        <v>12</v>
      </c>
      <c r="J530" s="12">
        <v>162154</v>
      </c>
      <c r="K530" s="12">
        <v>94.43</v>
      </c>
      <c r="L530" s="12">
        <v>16</v>
      </c>
      <c r="M530" s="12">
        <v>48</v>
      </c>
      <c r="N530" s="12">
        <v>6</v>
      </c>
      <c r="O530" s="12" t="s">
        <v>20</v>
      </c>
      <c r="P530" s="12">
        <v>7.22</v>
      </c>
      <c r="Q530" s="12" t="s">
        <v>23</v>
      </c>
    </row>
    <row r="531" spans="1:17" x14ac:dyDescent="0.3">
      <c r="A531" s="12" t="s">
        <v>1132</v>
      </c>
      <c r="B531" s="12" t="s">
        <v>1133</v>
      </c>
      <c r="C531" s="12" t="s">
        <v>19</v>
      </c>
      <c r="D531" s="12">
        <v>29</v>
      </c>
      <c r="E531" s="12" t="s">
        <v>60</v>
      </c>
      <c r="F531" s="12" t="s">
        <v>15</v>
      </c>
      <c r="G531" s="12" t="s">
        <v>130</v>
      </c>
      <c r="H531" s="12" t="s">
        <v>62</v>
      </c>
      <c r="I531" s="12">
        <v>3</v>
      </c>
      <c r="J531" s="12">
        <v>115682</v>
      </c>
      <c r="K531" s="12">
        <v>97.4</v>
      </c>
      <c r="L531" s="12">
        <v>3</v>
      </c>
      <c r="M531" s="12">
        <v>38</v>
      </c>
      <c r="N531" s="12">
        <v>35</v>
      </c>
      <c r="O531" s="12" t="s">
        <v>22</v>
      </c>
      <c r="P531" s="12">
        <v>5.62</v>
      </c>
      <c r="Q531" s="12" t="s">
        <v>23</v>
      </c>
    </row>
    <row r="532" spans="1:17" x14ac:dyDescent="0.3">
      <c r="A532" s="12" t="s">
        <v>1134</v>
      </c>
      <c r="B532" s="12" t="s">
        <v>1135</v>
      </c>
      <c r="C532" s="12" t="s">
        <v>19</v>
      </c>
      <c r="D532" s="12">
        <v>50</v>
      </c>
      <c r="E532" s="12" t="s">
        <v>60</v>
      </c>
      <c r="F532" s="12" t="s">
        <v>17</v>
      </c>
      <c r="G532" s="12" t="s">
        <v>99</v>
      </c>
      <c r="H532" s="12" t="s">
        <v>62</v>
      </c>
      <c r="I532" s="12">
        <v>23</v>
      </c>
      <c r="J532" s="12">
        <v>84872</v>
      </c>
      <c r="K532" s="12">
        <v>84.92</v>
      </c>
      <c r="L532" s="12">
        <v>17</v>
      </c>
      <c r="M532" s="12">
        <v>14</v>
      </c>
      <c r="N532" s="12">
        <v>106</v>
      </c>
      <c r="O532" s="12" t="s">
        <v>21</v>
      </c>
      <c r="P532" s="12">
        <v>10</v>
      </c>
      <c r="Q532" s="12" t="s">
        <v>24</v>
      </c>
    </row>
    <row r="533" spans="1:17" x14ac:dyDescent="0.3">
      <c r="A533" s="12" t="s">
        <v>1136</v>
      </c>
      <c r="B533" s="12" t="s">
        <v>1137</v>
      </c>
      <c r="C533" s="12" t="s">
        <v>19</v>
      </c>
      <c r="D533" s="12">
        <v>45</v>
      </c>
      <c r="E533" s="12" t="s">
        <v>80</v>
      </c>
      <c r="F533" s="12" t="s">
        <v>12</v>
      </c>
      <c r="G533" s="12" t="s">
        <v>152</v>
      </c>
      <c r="H533" s="12" t="s">
        <v>86</v>
      </c>
      <c r="I533" s="12">
        <v>1</v>
      </c>
      <c r="J533" s="12">
        <v>81738</v>
      </c>
      <c r="K533" s="12">
        <v>86.62</v>
      </c>
      <c r="L533" s="12">
        <v>17</v>
      </c>
      <c r="M533" s="12">
        <v>19</v>
      </c>
      <c r="N533" s="12">
        <v>64</v>
      </c>
      <c r="O533" s="12" t="s">
        <v>21</v>
      </c>
      <c r="P533" s="12">
        <v>8.24</v>
      </c>
      <c r="Q533" s="12" t="s">
        <v>23</v>
      </c>
    </row>
    <row r="534" spans="1:17" x14ac:dyDescent="0.3">
      <c r="A534" s="12" t="s">
        <v>1138</v>
      </c>
      <c r="B534" s="12" t="s">
        <v>1139</v>
      </c>
      <c r="C534" s="12" t="s">
        <v>19</v>
      </c>
      <c r="D534" s="12">
        <v>27</v>
      </c>
      <c r="E534" s="12" t="s">
        <v>80</v>
      </c>
      <c r="F534" s="12" t="s">
        <v>16</v>
      </c>
      <c r="G534" s="12" t="s">
        <v>181</v>
      </c>
      <c r="H534" s="12" t="s">
        <v>62</v>
      </c>
      <c r="I534" s="12">
        <v>4</v>
      </c>
      <c r="J534" s="12">
        <v>60846</v>
      </c>
      <c r="K534" s="12">
        <v>87.72</v>
      </c>
      <c r="L534" s="12">
        <v>6</v>
      </c>
      <c r="M534" s="12">
        <v>38</v>
      </c>
      <c r="N534" s="12">
        <v>106</v>
      </c>
      <c r="O534" s="12" t="s">
        <v>21</v>
      </c>
      <c r="P534" s="12">
        <v>7.74</v>
      </c>
      <c r="Q534" s="12" t="s">
        <v>23</v>
      </c>
    </row>
    <row r="535" spans="1:17" x14ac:dyDescent="0.3">
      <c r="A535" s="12" t="s">
        <v>1140</v>
      </c>
      <c r="B535" s="12" t="s">
        <v>1141</v>
      </c>
      <c r="C535" s="12" t="s">
        <v>19</v>
      </c>
      <c r="D535" s="12">
        <v>52</v>
      </c>
      <c r="E535" s="12" t="s">
        <v>91</v>
      </c>
      <c r="F535" s="12" t="s">
        <v>15</v>
      </c>
      <c r="G535" s="12" t="s">
        <v>73</v>
      </c>
      <c r="H535" s="12" t="s">
        <v>57</v>
      </c>
      <c r="I535" s="12">
        <v>1</v>
      </c>
      <c r="J535" s="12">
        <v>147059</v>
      </c>
      <c r="K535" s="12">
        <v>68.45</v>
      </c>
      <c r="L535" s="12">
        <v>12</v>
      </c>
      <c r="M535" s="12">
        <v>32</v>
      </c>
      <c r="N535" s="12">
        <v>88</v>
      </c>
      <c r="O535" s="12" t="s">
        <v>22</v>
      </c>
      <c r="P535" s="12">
        <v>7.82</v>
      </c>
      <c r="Q535" s="12" t="s">
        <v>23</v>
      </c>
    </row>
    <row r="536" spans="1:17" x14ac:dyDescent="0.3">
      <c r="A536" s="12" t="s">
        <v>1142</v>
      </c>
      <c r="B536" s="12" t="s">
        <v>1143</v>
      </c>
      <c r="C536" s="12" t="s">
        <v>19</v>
      </c>
      <c r="D536" s="12">
        <v>41</v>
      </c>
      <c r="E536" s="12" t="s">
        <v>69</v>
      </c>
      <c r="F536" s="12" t="s">
        <v>13</v>
      </c>
      <c r="G536" s="12" t="s">
        <v>66</v>
      </c>
      <c r="H536" s="12" t="s">
        <v>77</v>
      </c>
      <c r="I536" s="12">
        <v>20</v>
      </c>
      <c r="J536" s="12">
        <v>73870</v>
      </c>
      <c r="K536" s="12">
        <v>80.87</v>
      </c>
      <c r="L536" s="12">
        <v>9</v>
      </c>
      <c r="M536" s="12">
        <v>4</v>
      </c>
      <c r="N536" s="12">
        <v>88</v>
      </c>
      <c r="O536" s="12" t="s">
        <v>21</v>
      </c>
      <c r="P536" s="12">
        <v>7.32</v>
      </c>
      <c r="Q536" s="12" t="s">
        <v>23</v>
      </c>
    </row>
    <row r="537" spans="1:17" x14ac:dyDescent="0.3">
      <c r="A537" s="12" t="s">
        <v>1144</v>
      </c>
      <c r="B537" s="12" t="s">
        <v>1145</v>
      </c>
      <c r="C537" s="12" t="s">
        <v>18</v>
      </c>
      <c r="D537" s="12">
        <v>33</v>
      </c>
      <c r="E537" s="12" t="s">
        <v>60</v>
      </c>
      <c r="F537" s="12" t="s">
        <v>13</v>
      </c>
      <c r="G537" s="12" t="s">
        <v>56</v>
      </c>
      <c r="H537" s="12" t="s">
        <v>57</v>
      </c>
      <c r="I537" s="12">
        <v>0</v>
      </c>
      <c r="J537" s="12">
        <v>46145</v>
      </c>
      <c r="K537" s="12">
        <v>80.260000000000005</v>
      </c>
      <c r="L537" s="12">
        <v>16</v>
      </c>
      <c r="M537" s="12">
        <v>5</v>
      </c>
      <c r="N537" s="12">
        <v>55</v>
      </c>
      <c r="O537" s="12" t="s">
        <v>20</v>
      </c>
      <c r="P537" s="12">
        <v>7.56</v>
      </c>
      <c r="Q537" s="12" t="s">
        <v>23</v>
      </c>
    </row>
    <row r="538" spans="1:17" x14ac:dyDescent="0.3">
      <c r="A538" s="12" t="s">
        <v>1146</v>
      </c>
      <c r="B538" s="12" t="s">
        <v>1147</v>
      </c>
      <c r="C538" s="12" t="s">
        <v>19</v>
      </c>
      <c r="D538" s="12">
        <v>53</v>
      </c>
      <c r="E538" s="12" t="s">
        <v>65</v>
      </c>
      <c r="F538" s="12" t="s">
        <v>16</v>
      </c>
      <c r="G538" s="12" t="s">
        <v>271</v>
      </c>
      <c r="H538" s="12" t="s">
        <v>57</v>
      </c>
      <c r="I538" s="12">
        <v>10</v>
      </c>
      <c r="J538" s="12">
        <v>59940</v>
      </c>
      <c r="K538" s="12">
        <v>90.53</v>
      </c>
      <c r="L538" s="12">
        <v>16</v>
      </c>
      <c r="M538" s="12">
        <v>37</v>
      </c>
      <c r="N538" s="12">
        <v>44</v>
      </c>
      <c r="O538" s="12" t="s">
        <v>20</v>
      </c>
      <c r="P538" s="12">
        <v>8.7100000000000009</v>
      </c>
      <c r="Q538" s="12" t="s">
        <v>24</v>
      </c>
    </row>
    <row r="539" spans="1:17" x14ac:dyDescent="0.3">
      <c r="A539" s="12" t="s">
        <v>1148</v>
      </c>
      <c r="B539" s="12" t="s">
        <v>1149</v>
      </c>
      <c r="C539" s="12" t="s">
        <v>18</v>
      </c>
      <c r="D539" s="12">
        <v>47</v>
      </c>
      <c r="E539" s="12" t="s">
        <v>69</v>
      </c>
      <c r="F539" s="12" t="s">
        <v>14</v>
      </c>
      <c r="G539" s="12" t="s">
        <v>85</v>
      </c>
      <c r="H539" s="12" t="s">
        <v>62</v>
      </c>
      <c r="I539" s="12">
        <v>9</v>
      </c>
      <c r="J539" s="12">
        <v>63758</v>
      </c>
      <c r="K539" s="12">
        <v>92.19</v>
      </c>
      <c r="L539" s="12">
        <v>10</v>
      </c>
      <c r="M539" s="12">
        <v>14</v>
      </c>
      <c r="N539" s="12">
        <v>65</v>
      </c>
      <c r="O539" s="12" t="s">
        <v>20</v>
      </c>
      <c r="P539" s="12">
        <v>6.92</v>
      </c>
      <c r="Q539" s="12" t="s">
        <v>23</v>
      </c>
    </row>
    <row r="540" spans="1:17" x14ac:dyDescent="0.3">
      <c r="A540" s="12" t="s">
        <v>1150</v>
      </c>
      <c r="B540" s="12" t="s">
        <v>1151</v>
      </c>
      <c r="C540" s="12" t="s">
        <v>18</v>
      </c>
      <c r="D540" s="12">
        <v>28</v>
      </c>
      <c r="E540" s="12" t="s">
        <v>69</v>
      </c>
      <c r="F540" s="12" t="s">
        <v>12</v>
      </c>
      <c r="G540" s="12" t="s">
        <v>119</v>
      </c>
      <c r="H540" s="12" t="s">
        <v>86</v>
      </c>
      <c r="I540" s="12">
        <v>4</v>
      </c>
      <c r="J540" s="12">
        <v>134764</v>
      </c>
      <c r="K540" s="12">
        <v>90.59</v>
      </c>
      <c r="L540" s="12">
        <v>16</v>
      </c>
      <c r="M540" s="12">
        <v>54</v>
      </c>
      <c r="N540" s="12">
        <v>97</v>
      </c>
      <c r="O540" s="12" t="s">
        <v>22</v>
      </c>
      <c r="P540" s="12">
        <v>7.83</v>
      </c>
      <c r="Q540" s="12" t="s">
        <v>23</v>
      </c>
    </row>
    <row r="541" spans="1:17" x14ac:dyDescent="0.3">
      <c r="A541" s="12" t="s">
        <v>1152</v>
      </c>
      <c r="B541" s="12" t="s">
        <v>1153</v>
      </c>
      <c r="C541" s="12" t="s">
        <v>18</v>
      </c>
      <c r="D541" s="12">
        <v>46</v>
      </c>
      <c r="E541" s="12" t="s">
        <v>60</v>
      </c>
      <c r="F541" s="12" t="s">
        <v>15</v>
      </c>
      <c r="G541" s="12" t="s">
        <v>73</v>
      </c>
      <c r="H541" s="12" t="s">
        <v>77</v>
      </c>
      <c r="I541" s="12">
        <v>2</v>
      </c>
      <c r="J541" s="12">
        <v>109696</v>
      </c>
      <c r="K541" s="12">
        <v>80.59</v>
      </c>
      <c r="L541" s="12">
        <v>19</v>
      </c>
      <c r="M541" s="12">
        <v>5</v>
      </c>
      <c r="N541" s="12">
        <v>83</v>
      </c>
      <c r="O541" s="12" t="s">
        <v>20</v>
      </c>
      <c r="P541" s="12">
        <v>9.14</v>
      </c>
      <c r="Q541" s="12" t="s">
        <v>23</v>
      </c>
    </row>
    <row r="542" spans="1:17" x14ac:dyDescent="0.3">
      <c r="A542" s="12" t="s">
        <v>1154</v>
      </c>
      <c r="B542" s="12" t="s">
        <v>1155</v>
      </c>
      <c r="C542" s="12" t="s">
        <v>19</v>
      </c>
      <c r="D542" s="12">
        <v>26</v>
      </c>
      <c r="E542" s="12" t="s">
        <v>60</v>
      </c>
      <c r="F542" s="12" t="s">
        <v>15</v>
      </c>
      <c r="G542" s="12" t="s">
        <v>130</v>
      </c>
      <c r="H542" s="12" t="s">
        <v>62</v>
      </c>
      <c r="I542" s="12">
        <v>4</v>
      </c>
      <c r="J542" s="12">
        <v>120995</v>
      </c>
      <c r="K542" s="12">
        <v>96.99</v>
      </c>
      <c r="L542" s="12">
        <v>12</v>
      </c>
      <c r="M542" s="12">
        <v>1</v>
      </c>
      <c r="N542" s="12">
        <v>21</v>
      </c>
      <c r="O542" s="12" t="s">
        <v>21</v>
      </c>
      <c r="P542" s="12">
        <v>7.23</v>
      </c>
      <c r="Q542" s="12" t="s">
        <v>23</v>
      </c>
    </row>
    <row r="543" spans="1:17" x14ac:dyDescent="0.3">
      <c r="A543" s="12" t="s">
        <v>1156</v>
      </c>
      <c r="B543" s="12" t="s">
        <v>1157</v>
      </c>
      <c r="C543" s="12" t="s">
        <v>18</v>
      </c>
      <c r="D543" s="12">
        <v>40</v>
      </c>
      <c r="E543" s="12" t="s">
        <v>69</v>
      </c>
      <c r="F543" s="12" t="s">
        <v>15</v>
      </c>
      <c r="G543" s="12" t="s">
        <v>130</v>
      </c>
      <c r="H543" s="12" t="s">
        <v>77</v>
      </c>
      <c r="I543" s="12">
        <v>8</v>
      </c>
      <c r="J543" s="12">
        <v>135225</v>
      </c>
      <c r="K543" s="12">
        <v>88.17</v>
      </c>
      <c r="L543" s="12">
        <v>6</v>
      </c>
      <c r="M543" s="12">
        <v>48</v>
      </c>
      <c r="N543" s="12">
        <v>91</v>
      </c>
      <c r="O543" s="12" t="s">
        <v>21</v>
      </c>
      <c r="P543" s="12">
        <v>8.1</v>
      </c>
      <c r="Q543" s="12" t="s">
        <v>23</v>
      </c>
    </row>
    <row r="544" spans="1:17" x14ac:dyDescent="0.3">
      <c r="A544" s="12" t="s">
        <v>1158</v>
      </c>
      <c r="B544" s="12" t="s">
        <v>1159</v>
      </c>
      <c r="C544" s="12" t="s">
        <v>19</v>
      </c>
      <c r="D544" s="12">
        <v>39</v>
      </c>
      <c r="E544" s="12" t="s">
        <v>91</v>
      </c>
      <c r="F544" s="12" t="s">
        <v>12</v>
      </c>
      <c r="G544" s="12" t="s">
        <v>119</v>
      </c>
      <c r="H544" s="12" t="s">
        <v>57</v>
      </c>
      <c r="I544" s="12">
        <v>9</v>
      </c>
      <c r="J544" s="12">
        <v>96394</v>
      </c>
      <c r="K544" s="12">
        <v>88.89</v>
      </c>
      <c r="L544" s="12">
        <v>11</v>
      </c>
      <c r="M544" s="12">
        <v>31</v>
      </c>
      <c r="N544" s="12">
        <v>117</v>
      </c>
      <c r="O544" s="12" t="s">
        <v>21</v>
      </c>
      <c r="P544" s="12">
        <v>9.51</v>
      </c>
      <c r="Q544" s="12" t="s">
        <v>24</v>
      </c>
    </row>
    <row r="545" spans="1:17" x14ac:dyDescent="0.3">
      <c r="A545" s="12" t="s">
        <v>1160</v>
      </c>
      <c r="B545" s="12" t="s">
        <v>1161</v>
      </c>
      <c r="C545" s="12" t="s">
        <v>18</v>
      </c>
      <c r="D545" s="12">
        <v>55</v>
      </c>
      <c r="E545" s="12" t="s">
        <v>91</v>
      </c>
      <c r="F545" s="12" t="s">
        <v>15</v>
      </c>
      <c r="G545" s="12" t="s">
        <v>130</v>
      </c>
      <c r="H545" s="12" t="s">
        <v>86</v>
      </c>
      <c r="I545" s="12">
        <v>29</v>
      </c>
      <c r="J545" s="12">
        <v>43652</v>
      </c>
      <c r="K545" s="12">
        <v>85.56</v>
      </c>
      <c r="L545" s="12">
        <v>11</v>
      </c>
      <c r="M545" s="12">
        <v>7</v>
      </c>
      <c r="N545" s="12">
        <v>113</v>
      </c>
      <c r="O545" s="12" t="s">
        <v>21</v>
      </c>
      <c r="P545" s="12">
        <v>8.94</v>
      </c>
      <c r="Q545" s="12" t="s">
        <v>24</v>
      </c>
    </row>
    <row r="546" spans="1:17" x14ac:dyDescent="0.3">
      <c r="A546" s="12" t="s">
        <v>1162</v>
      </c>
      <c r="B546" s="12" t="s">
        <v>1163</v>
      </c>
      <c r="C546" s="12" t="s">
        <v>18</v>
      </c>
      <c r="D546" s="12">
        <v>57</v>
      </c>
      <c r="E546" s="12" t="s">
        <v>65</v>
      </c>
      <c r="F546" s="12" t="s">
        <v>14</v>
      </c>
      <c r="G546" s="12" t="s">
        <v>70</v>
      </c>
      <c r="H546" s="12" t="s">
        <v>57</v>
      </c>
      <c r="I546" s="12">
        <v>18</v>
      </c>
      <c r="J546" s="12">
        <v>86844</v>
      </c>
      <c r="K546" s="12">
        <v>79.67</v>
      </c>
      <c r="L546" s="12">
        <v>9</v>
      </c>
      <c r="M546" s="12">
        <v>1</v>
      </c>
      <c r="N546" s="12">
        <v>86</v>
      </c>
      <c r="O546" s="12" t="s">
        <v>22</v>
      </c>
      <c r="P546" s="12">
        <v>7.7</v>
      </c>
      <c r="Q546" s="12" t="s">
        <v>23</v>
      </c>
    </row>
    <row r="547" spans="1:17" x14ac:dyDescent="0.3">
      <c r="A547" s="12" t="s">
        <v>1164</v>
      </c>
      <c r="B547" s="12" t="s">
        <v>1165</v>
      </c>
      <c r="C547" s="12" t="s">
        <v>18</v>
      </c>
      <c r="D547" s="12">
        <v>48</v>
      </c>
      <c r="E547" s="12" t="s">
        <v>69</v>
      </c>
      <c r="F547" s="12" t="s">
        <v>12</v>
      </c>
      <c r="G547" s="12" t="s">
        <v>152</v>
      </c>
      <c r="H547" s="12" t="s">
        <v>57</v>
      </c>
      <c r="I547" s="12">
        <v>13</v>
      </c>
      <c r="J547" s="12">
        <v>77163</v>
      </c>
      <c r="K547" s="12">
        <v>83.98</v>
      </c>
      <c r="L547" s="12">
        <v>19</v>
      </c>
      <c r="M547" s="12">
        <v>42</v>
      </c>
      <c r="N547" s="12">
        <v>7</v>
      </c>
      <c r="O547" s="12" t="s">
        <v>21</v>
      </c>
      <c r="P547" s="12">
        <v>8.25</v>
      </c>
      <c r="Q547" s="12" t="s">
        <v>23</v>
      </c>
    </row>
    <row r="548" spans="1:17" x14ac:dyDescent="0.3">
      <c r="A548" s="12" t="s">
        <v>1166</v>
      </c>
      <c r="B548" s="12" t="s">
        <v>1167</v>
      </c>
      <c r="C548" s="12" t="s">
        <v>19</v>
      </c>
      <c r="D548" s="12">
        <v>26</v>
      </c>
      <c r="E548" s="12" t="s">
        <v>60</v>
      </c>
      <c r="F548" s="12" t="s">
        <v>17</v>
      </c>
      <c r="G548" s="12" t="s">
        <v>102</v>
      </c>
      <c r="H548" s="12" t="s">
        <v>62</v>
      </c>
      <c r="I548" s="12">
        <v>1</v>
      </c>
      <c r="J548" s="12">
        <v>105898</v>
      </c>
      <c r="K548" s="12">
        <v>77.61</v>
      </c>
      <c r="L548" s="12">
        <v>12</v>
      </c>
      <c r="M548" s="12">
        <v>2</v>
      </c>
      <c r="N548" s="12">
        <v>76</v>
      </c>
      <c r="O548" s="12" t="s">
        <v>20</v>
      </c>
      <c r="P548" s="12">
        <v>6.59</v>
      </c>
      <c r="Q548" s="12" t="s">
        <v>23</v>
      </c>
    </row>
    <row r="549" spans="1:17" x14ac:dyDescent="0.3">
      <c r="A549" s="12" t="s">
        <v>1168</v>
      </c>
      <c r="B549" s="12" t="s">
        <v>1169</v>
      </c>
      <c r="C549" s="12" t="s">
        <v>18</v>
      </c>
      <c r="D549" s="12">
        <v>28</v>
      </c>
      <c r="E549" s="12" t="s">
        <v>65</v>
      </c>
      <c r="F549" s="12" t="s">
        <v>16</v>
      </c>
      <c r="G549" s="12" t="s">
        <v>181</v>
      </c>
      <c r="H549" s="12" t="s">
        <v>77</v>
      </c>
      <c r="I549" s="12">
        <v>0</v>
      </c>
      <c r="J549" s="12">
        <v>69090</v>
      </c>
      <c r="K549" s="12">
        <v>66.209999999999994</v>
      </c>
      <c r="L549" s="12">
        <v>12</v>
      </c>
      <c r="M549" s="12">
        <v>55</v>
      </c>
      <c r="N549" s="12">
        <v>53</v>
      </c>
      <c r="O549" s="12" t="s">
        <v>22</v>
      </c>
      <c r="P549" s="12">
        <v>6.04</v>
      </c>
      <c r="Q549" s="12" t="s">
        <v>23</v>
      </c>
    </row>
    <row r="550" spans="1:17" x14ac:dyDescent="0.3">
      <c r="A550" s="12" t="s">
        <v>1170</v>
      </c>
      <c r="B550" s="12" t="s">
        <v>1171</v>
      </c>
      <c r="C550" s="12" t="s">
        <v>19</v>
      </c>
      <c r="D550" s="12">
        <v>25</v>
      </c>
      <c r="E550" s="12" t="s">
        <v>60</v>
      </c>
      <c r="F550" s="12" t="s">
        <v>17</v>
      </c>
      <c r="G550" s="12" t="s">
        <v>102</v>
      </c>
      <c r="H550" s="12" t="s">
        <v>77</v>
      </c>
      <c r="I550" s="12">
        <v>4</v>
      </c>
      <c r="J550" s="12">
        <v>98071</v>
      </c>
      <c r="K550" s="12">
        <v>95.1</v>
      </c>
      <c r="L550" s="12">
        <v>19</v>
      </c>
      <c r="M550" s="12">
        <v>5</v>
      </c>
      <c r="N550" s="12">
        <v>76</v>
      </c>
      <c r="O550" s="12" t="s">
        <v>21</v>
      </c>
      <c r="P550" s="12">
        <v>9.5500000000000007</v>
      </c>
      <c r="Q550" s="12" t="s">
        <v>24</v>
      </c>
    </row>
    <row r="551" spans="1:17" x14ac:dyDescent="0.3">
      <c r="A551" s="12" t="s">
        <v>1172</v>
      </c>
      <c r="B551" s="12" t="s">
        <v>1173</v>
      </c>
      <c r="C551" s="12" t="s">
        <v>18</v>
      </c>
      <c r="D551" s="12">
        <v>27</v>
      </c>
      <c r="E551" s="12" t="s">
        <v>69</v>
      </c>
      <c r="F551" s="12" t="s">
        <v>14</v>
      </c>
      <c r="G551" s="12" t="s">
        <v>70</v>
      </c>
      <c r="H551" s="12" t="s">
        <v>77</v>
      </c>
      <c r="I551" s="12">
        <v>0</v>
      </c>
      <c r="J551" s="12">
        <v>169772</v>
      </c>
      <c r="K551" s="12">
        <v>74.709999999999994</v>
      </c>
      <c r="L551" s="12">
        <v>1</v>
      </c>
      <c r="M551" s="12">
        <v>59</v>
      </c>
      <c r="N551" s="12">
        <v>7</v>
      </c>
      <c r="O551" s="12" t="s">
        <v>21</v>
      </c>
      <c r="P551" s="12">
        <v>3.14</v>
      </c>
      <c r="Q551" s="12" t="s">
        <v>23</v>
      </c>
    </row>
    <row r="552" spans="1:17" x14ac:dyDescent="0.3">
      <c r="A552" s="12" t="s">
        <v>1174</v>
      </c>
      <c r="B552" s="12" t="s">
        <v>1175</v>
      </c>
      <c r="C552" s="12" t="s">
        <v>19</v>
      </c>
      <c r="D552" s="12">
        <v>43</v>
      </c>
      <c r="E552" s="12" t="s">
        <v>80</v>
      </c>
      <c r="F552" s="12" t="s">
        <v>15</v>
      </c>
      <c r="G552" s="12" t="s">
        <v>61</v>
      </c>
      <c r="H552" s="12" t="s">
        <v>86</v>
      </c>
      <c r="I552" s="12">
        <v>21</v>
      </c>
      <c r="J552" s="12">
        <v>64797</v>
      </c>
      <c r="K552" s="12">
        <v>83.35</v>
      </c>
      <c r="L552" s="12">
        <v>16</v>
      </c>
      <c r="M552" s="12">
        <v>53</v>
      </c>
      <c r="N552" s="12">
        <v>53</v>
      </c>
      <c r="O552" s="12" t="s">
        <v>22</v>
      </c>
      <c r="P552" s="12">
        <v>7.76</v>
      </c>
      <c r="Q552" s="12" t="s">
        <v>23</v>
      </c>
    </row>
    <row r="553" spans="1:17" x14ac:dyDescent="0.3">
      <c r="A553" s="12" t="s">
        <v>1176</v>
      </c>
      <c r="B553" s="12" t="s">
        <v>1177</v>
      </c>
      <c r="C553" s="12" t="s">
        <v>19</v>
      </c>
      <c r="D553" s="12">
        <v>31</v>
      </c>
      <c r="E553" s="12" t="s">
        <v>69</v>
      </c>
      <c r="F553" s="12" t="s">
        <v>15</v>
      </c>
      <c r="G553" s="12" t="s">
        <v>130</v>
      </c>
      <c r="H553" s="12" t="s">
        <v>77</v>
      </c>
      <c r="I553" s="12">
        <v>1</v>
      </c>
      <c r="J553" s="12">
        <v>67173</v>
      </c>
      <c r="K553" s="12">
        <v>98.21</v>
      </c>
      <c r="L553" s="12">
        <v>7</v>
      </c>
      <c r="M553" s="12">
        <v>9</v>
      </c>
      <c r="N553" s="12">
        <v>9</v>
      </c>
      <c r="O553" s="12" t="s">
        <v>20</v>
      </c>
      <c r="P553" s="12">
        <v>6.21</v>
      </c>
      <c r="Q553" s="12" t="s">
        <v>23</v>
      </c>
    </row>
    <row r="554" spans="1:17" x14ac:dyDescent="0.3">
      <c r="A554" s="12" t="s">
        <v>1178</v>
      </c>
      <c r="B554" s="12" t="s">
        <v>1179</v>
      </c>
      <c r="C554" s="12" t="s">
        <v>19</v>
      </c>
      <c r="D554" s="12">
        <v>45</v>
      </c>
      <c r="E554" s="12" t="s">
        <v>55</v>
      </c>
      <c r="F554" s="12" t="s">
        <v>15</v>
      </c>
      <c r="G554" s="12" t="s">
        <v>73</v>
      </c>
      <c r="H554" s="12" t="s">
        <v>86</v>
      </c>
      <c r="I554" s="12">
        <v>14</v>
      </c>
      <c r="J554" s="12">
        <v>46112</v>
      </c>
      <c r="K554" s="12">
        <v>93.78</v>
      </c>
      <c r="L554" s="12">
        <v>20</v>
      </c>
      <c r="M554" s="12">
        <v>38</v>
      </c>
      <c r="N554" s="12">
        <v>77</v>
      </c>
      <c r="O554" s="12" t="s">
        <v>21</v>
      </c>
      <c r="P554" s="12">
        <v>8.77</v>
      </c>
      <c r="Q554" s="12" t="s">
        <v>24</v>
      </c>
    </row>
    <row r="555" spans="1:17" x14ac:dyDescent="0.3">
      <c r="A555" s="12" t="s">
        <v>1180</v>
      </c>
      <c r="B555" s="12" t="s">
        <v>1181</v>
      </c>
      <c r="C555" s="12" t="s">
        <v>19</v>
      </c>
      <c r="D555" s="12">
        <v>36</v>
      </c>
      <c r="E555" s="12" t="s">
        <v>55</v>
      </c>
      <c r="F555" s="12" t="s">
        <v>14</v>
      </c>
      <c r="G555" s="12" t="s">
        <v>248</v>
      </c>
      <c r="H555" s="12" t="s">
        <v>86</v>
      </c>
      <c r="I555" s="12">
        <v>8</v>
      </c>
      <c r="J555" s="12">
        <v>75820</v>
      </c>
      <c r="K555" s="12">
        <v>71.94</v>
      </c>
      <c r="L555" s="12">
        <v>19</v>
      </c>
      <c r="M555" s="12">
        <v>1</v>
      </c>
      <c r="N555" s="12">
        <v>98</v>
      </c>
      <c r="O555" s="12" t="s">
        <v>21</v>
      </c>
      <c r="P555" s="12">
        <v>9</v>
      </c>
      <c r="Q555" s="12" t="s">
        <v>24</v>
      </c>
    </row>
    <row r="556" spans="1:17" x14ac:dyDescent="0.3">
      <c r="A556" s="12" t="s">
        <v>1182</v>
      </c>
      <c r="B556" s="12" t="s">
        <v>1183</v>
      </c>
      <c r="C556" s="12" t="s">
        <v>19</v>
      </c>
      <c r="D556" s="12">
        <v>29</v>
      </c>
      <c r="E556" s="12" t="s">
        <v>65</v>
      </c>
      <c r="F556" s="12" t="s">
        <v>13</v>
      </c>
      <c r="G556" s="12" t="s">
        <v>66</v>
      </c>
      <c r="H556" s="12" t="s">
        <v>86</v>
      </c>
      <c r="I556" s="12">
        <v>7</v>
      </c>
      <c r="J556" s="12">
        <v>59318</v>
      </c>
      <c r="K556" s="12">
        <v>80.42</v>
      </c>
      <c r="L556" s="12">
        <v>4</v>
      </c>
      <c r="M556" s="12">
        <v>54</v>
      </c>
      <c r="N556" s="12">
        <v>103</v>
      </c>
      <c r="O556" s="12" t="s">
        <v>20</v>
      </c>
      <c r="P556" s="12">
        <v>5.73</v>
      </c>
      <c r="Q556" s="12" t="s">
        <v>23</v>
      </c>
    </row>
    <row r="557" spans="1:17" x14ac:dyDescent="0.3">
      <c r="A557" s="12" t="s">
        <v>1184</v>
      </c>
      <c r="B557" s="12" t="s">
        <v>1185</v>
      </c>
      <c r="C557" s="12" t="s">
        <v>19</v>
      </c>
      <c r="D557" s="12">
        <v>49</v>
      </c>
      <c r="E557" s="12" t="s">
        <v>65</v>
      </c>
      <c r="F557" s="12" t="s">
        <v>17</v>
      </c>
      <c r="G557" s="12" t="s">
        <v>135</v>
      </c>
      <c r="H557" s="12" t="s">
        <v>57</v>
      </c>
      <c r="I557" s="12">
        <v>20</v>
      </c>
      <c r="J557" s="12">
        <v>108845</v>
      </c>
      <c r="K557" s="12">
        <v>77.14</v>
      </c>
      <c r="L557" s="12">
        <v>11</v>
      </c>
      <c r="M557" s="12">
        <v>25</v>
      </c>
      <c r="N557" s="12">
        <v>46</v>
      </c>
      <c r="O557" s="12" t="s">
        <v>20</v>
      </c>
      <c r="P557" s="12">
        <v>6.71</v>
      </c>
      <c r="Q557" s="12" t="s">
        <v>23</v>
      </c>
    </row>
    <row r="558" spans="1:17" x14ac:dyDescent="0.3">
      <c r="A558" s="12" t="s">
        <v>1186</v>
      </c>
      <c r="B558" s="12" t="s">
        <v>1187</v>
      </c>
      <c r="C558" s="12" t="s">
        <v>19</v>
      </c>
      <c r="D558" s="12">
        <v>22</v>
      </c>
      <c r="E558" s="12" t="s">
        <v>91</v>
      </c>
      <c r="F558" s="12" t="s">
        <v>12</v>
      </c>
      <c r="G558" s="12" t="s">
        <v>92</v>
      </c>
      <c r="H558" s="12" t="s">
        <v>86</v>
      </c>
      <c r="I558" s="12">
        <v>0</v>
      </c>
      <c r="J558" s="12">
        <v>118262</v>
      </c>
      <c r="K558" s="12">
        <v>94.65</v>
      </c>
      <c r="L558" s="12">
        <v>13</v>
      </c>
      <c r="M558" s="12">
        <v>6</v>
      </c>
      <c r="N558" s="12">
        <v>114</v>
      </c>
      <c r="O558" s="12" t="s">
        <v>22</v>
      </c>
      <c r="P558" s="12">
        <v>8.66</v>
      </c>
      <c r="Q558" s="12" t="s">
        <v>23</v>
      </c>
    </row>
    <row r="559" spans="1:17" x14ac:dyDescent="0.3">
      <c r="A559" s="12" t="s">
        <v>1188</v>
      </c>
      <c r="B559" s="12" t="s">
        <v>1189</v>
      </c>
      <c r="C559" s="12" t="s">
        <v>19</v>
      </c>
      <c r="D559" s="12">
        <v>45</v>
      </c>
      <c r="E559" s="12" t="s">
        <v>91</v>
      </c>
      <c r="F559" s="12" t="s">
        <v>13</v>
      </c>
      <c r="G559" s="12" t="s">
        <v>56</v>
      </c>
      <c r="H559" s="12" t="s">
        <v>77</v>
      </c>
      <c r="I559" s="12">
        <v>7</v>
      </c>
      <c r="J559" s="12">
        <v>86436</v>
      </c>
      <c r="K559" s="12">
        <v>77.42</v>
      </c>
      <c r="L559" s="12">
        <v>10</v>
      </c>
      <c r="M559" s="12">
        <v>14</v>
      </c>
      <c r="N559" s="12">
        <v>101</v>
      </c>
      <c r="O559" s="12" t="s">
        <v>20</v>
      </c>
      <c r="P559" s="12">
        <v>7.3</v>
      </c>
      <c r="Q559" s="12" t="s">
        <v>23</v>
      </c>
    </row>
    <row r="560" spans="1:17" x14ac:dyDescent="0.3">
      <c r="A560" s="12" t="s">
        <v>1190</v>
      </c>
      <c r="B560" s="12" t="s">
        <v>1191</v>
      </c>
      <c r="C560" s="12" t="s">
        <v>19</v>
      </c>
      <c r="D560" s="12">
        <v>42</v>
      </c>
      <c r="E560" s="12" t="s">
        <v>69</v>
      </c>
      <c r="F560" s="12" t="s">
        <v>17</v>
      </c>
      <c r="G560" s="12" t="s">
        <v>99</v>
      </c>
      <c r="H560" s="12" t="s">
        <v>62</v>
      </c>
      <c r="I560" s="12">
        <v>8</v>
      </c>
      <c r="J560" s="12">
        <v>112520</v>
      </c>
      <c r="K560" s="12">
        <v>74.959999999999994</v>
      </c>
      <c r="L560" s="12">
        <v>13</v>
      </c>
      <c r="M560" s="12">
        <v>56</v>
      </c>
      <c r="N560" s="12">
        <v>36</v>
      </c>
      <c r="O560" s="12" t="s">
        <v>22</v>
      </c>
      <c r="P560" s="12">
        <v>5.76</v>
      </c>
      <c r="Q560" s="12" t="s">
        <v>23</v>
      </c>
    </row>
    <row r="561" spans="1:17" x14ac:dyDescent="0.3">
      <c r="A561" s="12" t="s">
        <v>1192</v>
      </c>
      <c r="B561" s="12" t="s">
        <v>1193</v>
      </c>
      <c r="C561" s="12" t="s">
        <v>19</v>
      </c>
      <c r="D561" s="12">
        <v>52</v>
      </c>
      <c r="E561" s="12" t="s">
        <v>69</v>
      </c>
      <c r="F561" s="12" t="s">
        <v>15</v>
      </c>
      <c r="G561" s="12" t="s">
        <v>61</v>
      </c>
      <c r="H561" s="12" t="s">
        <v>62</v>
      </c>
      <c r="I561" s="12">
        <v>18</v>
      </c>
      <c r="J561" s="12">
        <v>57065</v>
      </c>
      <c r="K561" s="12">
        <v>70.87</v>
      </c>
      <c r="L561" s="12">
        <v>17</v>
      </c>
      <c r="M561" s="12">
        <v>19</v>
      </c>
      <c r="N561" s="12">
        <v>79</v>
      </c>
      <c r="O561" s="12" t="s">
        <v>22</v>
      </c>
      <c r="P561" s="12">
        <v>8.7799999999999994</v>
      </c>
      <c r="Q561" s="12" t="s">
        <v>24</v>
      </c>
    </row>
    <row r="562" spans="1:17" x14ac:dyDescent="0.3">
      <c r="A562" s="12" t="s">
        <v>1194</v>
      </c>
      <c r="B562" s="12" t="s">
        <v>1195</v>
      </c>
      <c r="C562" s="12" t="s">
        <v>19</v>
      </c>
      <c r="D562" s="12">
        <v>49</v>
      </c>
      <c r="E562" s="12" t="s">
        <v>65</v>
      </c>
      <c r="F562" s="12" t="s">
        <v>13</v>
      </c>
      <c r="G562" s="12" t="s">
        <v>56</v>
      </c>
      <c r="H562" s="12" t="s">
        <v>77</v>
      </c>
      <c r="I562" s="12">
        <v>3</v>
      </c>
      <c r="J562" s="12">
        <v>75634</v>
      </c>
      <c r="K562" s="12">
        <v>72.03</v>
      </c>
      <c r="L562" s="12">
        <v>13</v>
      </c>
      <c r="M562" s="12">
        <v>40</v>
      </c>
      <c r="N562" s="12">
        <v>12</v>
      </c>
      <c r="O562" s="12" t="s">
        <v>20</v>
      </c>
      <c r="P562" s="12">
        <v>5.51</v>
      </c>
      <c r="Q562" s="12" t="s">
        <v>23</v>
      </c>
    </row>
    <row r="563" spans="1:17" x14ac:dyDescent="0.3">
      <c r="A563" s="12" t="s">
        <v>1196</v>
      </c>
      <c r="B563" s="12" t="s">
        <v>1197</v>
      </c>
      <c r="C563" s="12" t="s">
        <v>18</v>
      </c>
      <c r="D563" s="12">
        <v>41</v>
      </c>
      <c r="E563" s="12" t="s">
        <v>80</v>
      </c>
      <c r="F563" s="12" t="s">
        <v>17</v>
      </c>
      <c r="G563" s="12" t="s">
        <v>135</v>
      </c>
      <c r="H563" s="12" t="s">
        <v>86</v>
      </c>
      <c r="I563" s="12">
        <v>7</v>
      </c>
      <c r="J563" s="12">
        <v>73366</v>
      </c>
      <c r="K563" s="12">
        <v>90.93</v>
      </c>
      <c r="L563" s="12">
        <v>7</v>
      </c>
      <c r="M563" s="12">
        <v>49</v>
      </c>
      <c r="N563" s="12">
        <v>71</v>
      </c>
      <c r="O563" s="12" t="s">
        <v>22</v>
      </c>
      <c r="P563" s="12">
        <v>6.15</v>
      </c>
      <c r="Q563" s="12" t="s">
        <v>23</v>
      </c>
    </row>
    <row r="564" spans="1:17" x14ac:dyDescent="0.3">
      <c r="A564" s="12" t="s">
        <v>1198</v>
      </c>
      <c r="B564" s="12" t="s">
        <v>1199</v>
      </c>
      <c r="C564" s="12" t="s">
        <v>19</v>
      </c>
      <c r="D564" s="12">
        <v>46</v>
      </c>
      <c r="E564" s="12" t="s">
        <v>80</v>
      </c>
      <c r="F564" s="12" t="s">
        <v>17</v>
      </c>
      <c r="G564" s="12" t="s">
        <v>99</v>
      </c>
      <c r="H564" s="12" t="s">
        <v>86</v>
      </c>
      <c r="I564" s="12">
        <v>9</v>
      </c>
      <c r="J564" s="12">
        <v>61910</v>
      </c>
      <c r="K564" s="12">
        <v>68.94</v>
      </c>
      <c r="L564" s="12">
        <v>2</v>
      </c>
      <c r="M564" s="12">
        <v>32</v>
      </c>
      <c r="N564" s="12">
        <v>24</v>
      </c>
      <c r="O564" s="12" t="s">
        <v>20</v>
      </c>
      <c r="P564" s="12">
        <v>5.04</v>
      </c>
      <c r="Q564" s="12" t="s">
        <v>23</v>
      </c>
    </row>
    <row r="565" spans="1:17" x14ac:dyDescent="0.3">
      <c r="A565" s="12" t="s">
        <v>1200</v>
      </c>
      <c r="B565" s="12" t="s">
        <v>1201</v>
      </c>
      <c r="C565" s="12" t="s">
        <v>18</v>
      </c>
      <c r="D565" s="12">
        <v>31</v>
      </c>
      <c r="E565" s="12" t="s">
        <v>69</v>
      </c>
      <c r="F565" s="12" t="s">
        <v>16</v>
      </c>
      <c r="G565" s="12" t="s">
        <v>76</v>
      </c>
      <c r="H565" s="12" t="s">
        <v>62</v>
      </c>
      <c r="I565" s="12">
        <v>9</v>
      </c>
      <c r="J565" s="12">
        <v>59261</v>
      </c>
      <c r="K565" s="12">
        <v>82.99</v>
      </c>
      <c r="L565" s="12">
        <v>18</v>
      </c>
      <c r="M565" s="12">
        <v>7</v>
      </c>
      <c r="N565" s="12">
        <v>21</v>
      </c>
      <c r="O565" s="12" t="s">
        <v>20</v>
      </c>
      <c r="P565" s="12">
        <v>7.57</v>
      </c>
      <c r="Q565" s="12" t="s">
        <v>23</v>
      </c>
    </row>
    <row r="566" spans="1:17" x14ac:dyDescent="0.3">
      <c r="A566" s="12" t="s">
        <v>1202</v>
      </c>
      <c r="B566" s="12" t="s">
        <v>1203</v>
      </c>
      <c r="C566" s="12" t="s">
        <v>19</v>
      </c>
      <c r="D566" s="12">
        <v>39</v>
      </c>
      <c r="E566" s="12" t="s">
        <v>60</v>
      </c>
      <c r="F566" s="12" t="s">
        <v>17</v>
      </c>
      <c r="G566" s="12" t="s">
        <v>102</v>
      </c>
      <c r="H566" s="12" t="s">
        <v>86</v>
      </c>
      <c r="I566" s="12">
        <v>7</v>
      </c>
      <c r="J566" s="12">
        <v>108050</v>
      </c>
      <c r="K566" s="12">
        <v>86.79</v>
      </c>
      <c r="L566" s="12">
        <v>12</v>
      </c>
      <c r="M566" s="12">
        <v>1</v>
      </c>
      <c r="N566" s="12">
        <v>28</v>
      </c>
      <c r="O566" s="12" t="s">
        <v>20</v>
      </c>
      <c r="P566" s="12">
        <v>6.33</v>
      </c>
      <c r="Q566" s="12" t="s">
        <v>23</v>
      </c>
    </row>
    <row r="567" spans="1:17" x14ac:dyDescent="0.3">
      <c r="A567" s="12" t="s">
        <v>1204</v>
      </c>
      <c r="B567" s="12" t="s">
        <v>1205</v>
      </c>
      <c r="C567" s="12" t="s">
        <v>19</v>
      </c>
      <c r="D567" s="12">
        <v>50</v>
      </c>
      <c r="E567" s="12" t="s">
        <v>80</v>
      </c>
      <c r="F567" s="12" t="s">
        <v>15</v>
      </c>
      <c r="G567" s="12" t="s">
        <v>73</v>
      </c>
      <c r="H567" s="12" t="s">
        <v>62</v>
      </c>
      <c r="I567" s="12">
        <v>10</v>
      </c>
      <c r="J567" s="12">
        <v>108929</v>
      </c>
      <c r="K567" s="12">
        <v>85.17</v>
      </c>
      <c r="L567" s="12">
        <v>19</v>
      </c>
      <c r="M567" s="12">
        <v>31</v>
      </c>
      <c r="N567" s="12">
        <v>14</v>
      </c>
      <c r="O567" s="12" t="s">
        <v>22</v>
      </c>
      <c r="P567" s="12">
        <v>8.18</v>
      </c>
      <c r="Q567" s="12" t="s">
        <v>23</v>
      </c>
    </row>
    <row r="568" spans="1:17" x14ac:dyDescent="0.3">
      <c r="A568" s="12" t="s">
        <v>1206</v>
      </c>
      <c r="B568" s="12" t="s">
        <v>1207</v>
      </c>
      <c r="C568" s="12" t="s">
        <v>18</v>
      </c>
      <c r="D568" s="12">
        <v>38</v>
      </c>
      <c r="E568" s="12" t="s">
        <v>60</v>
      </c>
      <c r="F568" s="12" t="s">
        <v>13</v>
      </c>
      <c r="G568" s="12" t="s">
        <v>56</v>
      </c>
      <c r="H568" s="12" t="s">
        <v>57</v>
      </c>
      <c r="I568" s="12">
        <v>12</v>
      </c>
      <c r="J568" s="12">
        <v>80527</v>
      </c>
      <c r="K568" s="12">
        <v>82.43</v>
      </c>
      <c r="L568" s="12">
        <v>6</v>
      </c>
      <c r="M568" s="12">
        <v>25</v>
      </c>
      <c r="N568" s="12">
        <v>82</v>
      </c>
      <c r="O568" s="12" t="s">
        <v>20</v>
      </c>
      <c r="P568" s="12">
        <v>7.92</v>
      </c>
      <c r="Q568" s="12" t="s">
        <v>23</v>
      </c>
    </row>
    <row r="569" spans="1:17" x14ac:dyDescent="0.3">
      <c r="A569" s="12" t="s">
        <v>1208</v>
      </c>
      <c r="B569" s="12" t="s">
        <v>1209</v>
      </c>
      <c r="C569" s="12" t="s">
        <v>19</v>
      </c>
      <c r="D569" s="12">
        <v>30</v>
      </c>
      <c r="E569" s="12" t="s">
        <v>80</v>
      </c>
      <c r="F569" s="12" t="s">
        <v>12</v>
      </c>
      <c r="G569" s="12" t="s">
        <v>119</v>
      </c>
      <c r="H569" s="12" t="s">
        <v>57</v>
      </c>
      <c r="I569" s="12">
        <v>4</v>
      </c>
      <c r="J569" s="12">
        <v>59435</v>
      </c>
      <c r="K569" s="12">
        <v>75.25</v>
      </c>
      <c r="L569" s="12">
        <v>12</v>
      </c>
      <c r="M569" s="12">
        <v>14</v>
      </c>
      <c r="N569" s="12">
        <v>76</v>
      </c>
      <c r="O569" s="12" t="s">
        <v>22</v>
      </c>
      <c r="P569" s="12">
        <v>7.36</v>
      </c>
      <c r="Q569" s="12" t="s">
        <v>23</v>
      </c>
    </row>
    <row r="570" spans="1:17" x14ac:dyDescent="0.3">
      <c r="A570" s="12" t="s">
        <v>1210</v>
      </c>
      <c r="B570" s="12" t="s">
        <v>1211</v>
      </c>
      <c r="C570" s="12" t="s">
        <v>18</v>
      </c>
      <c r="D570" s="12">
        <v>24</v>
      </c>
      <c r="E570" s="12" t="s">
        <v>69</v>
      </c>
      <c r="F570" s="12" t="s">
        <v>15</v>
      </c>
      <c r="G570" s="12" t="s">
        <v>130</v>
      </c>
      <c r="H570" s="12" t="s">
        <v>57</v>
      </c>
      <c r="I570" s="12">
        <v>2</v>
      </c>
      <c r="J570" s="12">
        <v>142576</v>
      </c>
      <c r="K570" s="12">
        <v>77.36</v>
      </c>
      <c r="L570" s="12">
        <v>18</v>
      </c>
      <c r="M570" s="12">
        <v>1</v>
      </c>
      <c r="N570" s="12">
        <v>78</v>
      </c>
      <c r="O570" s="12" t="s">
        <v>21</v>
      </c>
      <c r="P570" s="12">
        <v>9.11</v>
      </c>
      <c r="Q570" s="12" t="s">
        <v>23</v>
      </c>
    </row>
    <row r="571" spans="1:17" x14ac:dyDescent="0.3">
      <c r="A571" s="12" t="s">
        <v>1212</v>
      </c>
      <c r="B571" s="12" t="s">
        <v>1213</v>
      </c>
      <c r="C571" s="12" t="s">
        <v>19</v>
      </c>
      <c r="D571" s="12">
        <v>26</v>
      </c>
      <c r="E571" s="12" t="s">
        <v>69</v>
      </c>
      <c r="F571" s="12" t="s">
        <v>13</v>
      </c>
      <c r="G571" s="12" t="s">
        <v>107</v>
      </c>
      <c r="H571" s="12" t="s">
        <v>57</v>
      </c>
      <c r="I571" s="12">
        <v>2</v>
      </c>
      <c r="J571" s="12">
        <v>72650</v>
      </c>
      <c r="K571" s="12">
        <v>94.14</v>
      </c>
      <c r="L571" s="12">
        <v>15</v>
      </c>
      <c r="M571" s="12">
        <v>1</v>
      </c>
      <c r="N571" s="12">
        <v>118</v>
      </c>
      <c r="O571" s="12" t="s">
        <v>22</v>
      </c>
      <c r="P571" s="12">
        <v>10</v>
      </c>
      <c r="Q571" s="12" t="s">
        <v>23</v>
      </c>
    </row>
    <row r="572" spans="1:17" x14ac:dyDescent="0.3">
      <c r="A572" s="12" t="s">
        <v>1214</v>
      </c>
      <c r="B572" s="12" t="s">
        <v>1215</v>
      </c>
      <c r="C572" s="12" t="s">
        <v>19</v>
      </c>
      <c r="D572" s="12">
        <v>24</v>
      </c>
      <c r="E572" s="12" t="s">
        <v>65</v>
      </c>
      <c r="F572" s="12" t="s">
        <v>12</v>
      </c>
      <c r="G572" s="12" t="s">
        <v>119</v>
      </c>
      <c r="H572" s="12" t="s">
        <v>77</v>
      </c>
      <c r="I572" s="12">
        <v>2</v>
      </c>
      <c r="J572" s="12">
        <v>139423</v>
      </c>
      <c r="K572" s="12">
        <v>65.09</v>
      </c>
      <c r="L572" s="12">
        <v>5</v>
      </c>
      <c r="M572" s="12">
        <v>31</v>
      </c>
      <c r="N572" s="12">
        <v>71</v>
      </c>
      <c r="O572" s="12" t="s">
        <v>20</v>
      </c>
      <c r="P572" s="12">
        <v>6.17</v>
      </c>
      <c r="Q572" s="12" t="s">
        <v>23</v>
      </c>
    </row>
    <row r="573" spans="1:17" x14ac:dyDescent="0.3">
      <c r="A573" s="12" t="s">
        <v>1216</v>
      </c>
      <c r="B573" s="12" t="s">
        <v>1217</v>
      </c>
      <c r="C573" s="12" t="s">
        <v>19</v>
      </c>
      <c r="D573" s="12">
        <v>36</v>
      </c>
      <c r="E573" s="12" t="s">
        <v>80</v>
      </c>
      <c r="F573" s="12" t="s">
        <v>15</v>
      </c>
      <c r="G573" s="12" t="s">
        <v>73</v>
      </c>
      <c r="H573" s="12" t="s">
        <v>57</v>
      </c>
      <c r="I573" s="12">
        <v>13</v>
      </c>
      <c r="J573" s="12">
        <v>42949</v>
      </c>
      <c r="K573" s="12">
        <v>88.78</v>
      </c>
      <c r="L573" s="12">
        <v>17</v>
      </c>
      <c r="M573" s="12">
        <v>35</v>
      </c>
      <c r="N573" s="12">
        <v>116</v>
      </c>
      <c r="O573" s="12" t="s">
        <v>22</v>
      </c>
      <c r="P573" s="12">
        <v>10</v>
      </c>
      <c r="Q573" s="12" t="s">
        <v>24</v>
      </c>
    </row>
    <row r="574" spans="1:17" x14ac:dyDescent="0.3">
      <c r="A574" s="12" t="s">
        <v>1218</v>
      </c>
      <c r="B574" s="12" t="s">
        <v>1219</v>
      </c>
      <c r="C574" s="12" t="s">
        <v>19</v>
      </c>
      <c r="D574" s="12">
        <v>39</v>
      </c>
      <c r="E574" s="12" t="s">
        <v>91</v>
      </c>
      <c r="F574" s="12" t="s">
        <v>12</v>
      </c>
      <c r="G574" s="12" t="s">
        <v>92</v>
      </c>
      <c r="H574" s="12" t="s">
        <v>62</v>
      </c>
      <c r="I574" s="12">
        <v>7</v>
      </c>
      <c r="J574" s="12">
        <v>96467</v>
      </c>
      <c r="K574" s="12">
        <v>70.72</v>
      </c>
      <c r="L574" s="12">
        <v>12</v>
      </c>
      <c r="M574" s="12">
        <v>36</v>
      </c>
      <c r="N574" s="12">
        <v>56</v>
      </c>
      <c r="O574" s="12" t="s">
        <v>21</v>
      </c>
      <c r="P574" s="12">
        <v>6.89</v>
      </c>
      <c r="Q574" s="12" t="s">
        <v>23</v>
      </c>
    </row>
    <row r="575" spans="1:17" x14ac:dyDescent="0.3">
      <c r="A575" s="12" t="s">
        <v>1220</v>
      </c>
      <c r="B575" s="12" t="s">
        <v>1221</v>
      </c>
      <c r="C575" s="12" t="s">
        <v>19</v>
      </c>
      <c r="D575" s="12">
        <v>36</v>
      </c>
      <c r="E575" s="12" t="s">
        <v>91</v>
      </c>
      <c r="F575" s="12" t="s">
        <v>17</v>
      </c>
      <c r="G575" s="12" t="s">
        <v>102</v>
      </c>
      <c r="H575" s="12" t="s">
        <v>62</v>
      </c>
      <c r="I575" s="12">
        <v>8</v>
      </c>
      <c r="J575" s="12">
        <v>136242</v>
      </c>
      <c r="K575" s="12">
        <v>73.680000000000007</v>
      </c>
      <c r="L575" s="12">
        <v>15</v>
      </c>
      <c r="M575" s="12">
        <v>50</v>
      </c>
      <c r="N575" s="12">
        <v>45</v>
      </c>
      <c r="O575" s="12" t="s">
        <v>22</v>
      </c>
      <c r="P575" s="12">
        <v>7.81</v>
      </c>
      <c r="Q575" s="12" t="s">
        <v>23</v>
      </c>
    </row>
    <row r="576" spans="1:17" x14ac:dyDescent="0.3">
      <c r="A576" s="12" t="s">
        <v>1222</v>
      </c>
      <c r="B576" s="12" t="s">
        <v>1223</v>
      </c>
      <c r="C576" s="12" t="s">
        <v>18</v>
      </c>
      <c r="D576" s="12">
        <v>45</v>
      </c>
      <c r="E576" s="12" t="s">
        <v>80</v>
      </c>
      <c r="F576" s="12" t="s">
        <v>17</v>
      </c>
      <c r="G576" s="12" t="s">
        <v>99</v>
      </c>
      <c r="H576" s="12" t="s">
        <v>57</v>
      </c>
      <c r="I576" s="12">
        <v>19</v>
      </c>
      <c r="J576" s="12">
        <v>63202</v>
      </c>
      <c r="K576" s="12">
        <v>69</v>
      </c>
      <c r="L576" s="12">
        <v>17</v>
      </c>
      <c r="M576" s="12">
        <v>50</v>
      </c>
      <c r="N576" s="12">
        <v>48</v>
      </c>
      <c r="O576" s="12" t="s">
        <v>20</v>
      </c>
      <c r="P576" s="12">
        <v>8.59</v>
      </c>
      <c r="Q576" s="12" t="s">
        <v>24</v>
      </c>
    </row>
    <row r="577" spans="1:17" x14ac:dyDescent="0.3">
      <c r="A577" s="12" t="s">
        <v>1224</v>
      </c>
      <c r="B577" s="12" t="s">
        <v>1225</v>
      </c>
      <c r="C577" s="12" t="s">
        <v>18</v>
      </c>
      <c r="D577" s="12">
        <v>33</v>
      </c>
      <c r="E577" s="12" t="s">
        <v>60</v>
      </c>
      <c r="F577" s="12" t="s">
        <v>12</v>
      </c>
      <c r="G577" s="12" t="s">
        <v>92</v>
      </c>
      <c r="H577" s="12" t="s">
        <v>77</v>
      </c>
      <c r="I577" s="12">
        <v>2</v>
      </c>
      <c r="J577" s="12">
        <v>125527</v>
      </c>
      <c r="K577" s="12">
        <v>93.96</v>
      </c>
      <c r="L577" s="12">
        <v>3</v>
      </c>
      <c r="M577" s="12">
        <v>48</v>
      </c>
      <c r="N577" s="12">
        <v>64</v>
      </c>
      <c r="O577" s="12" t="s">
        <v>20</v>
      </c>
      <c r="P577" s="12">
        <v>5.39</v>
      </c>
      <c r="Q577" s="12" t="s">
        <v>23</v>
      </c>
    </row>
    <row r="578" spans="1:17" x14ac:dyDescent="0.3">
      <c r="A578" s="12" t="s">
        <v>1226</v>
      </c>
      <c r="B578" s="12" t="s">
        <v>1227</v>
      </c>
      <c r="C578" s="12" t="s">
        <v>19</v>
      </c>
      <c r="D578" s="12">
        <v>56</v>
      </c>
      <c r="E578" s="12" t="s">
        <v>80</v>
      </c>
      <c r="F578" s="12" t="s">
        <v>13</v>
      </c>
      <c r="G578" s="12" t="s">
        <v>56</v>
      </c>
      <c r="H578" s="12" t="s">
        <v>86</v>
      </c>
      <c r="I578" s="12">
        <v>11</v>
      </c>
      <c r="J578" s="12">
        <v>62162</v>
      </c>
      <c r="K578" s="12">
        <v>75.63</v>
      </c>
      <c r="L578" s="12">
        <v>6</v>
      </c>
      <c r="M578" s="12">
        <v>46</v>
      </c>
      <c r="N578" s="12">
        <v>83</v>
      </c>
      <c r="O578" s="12" t="s">
        <v>22</v>
      </c>
      <c r="P578" s="12">
        <v>7.67</v>
      </c>
      <c r="Q578" s="12" t="s">
        <v>23</v>
      </c>
    </row>
    <row r="579" spans="1:17" x14ac:dyDescent="0.3">
      <c r="A579" s="12" t="s">
        <v>1228</v>
      </c>
      <c r="B579" s="12" t="s">
        <v>1229</v>
      </c>
      <c r="C579" s="12" t="s">
        <v>18</v>
      </c>
      <c r="D579" s="12">
        <v>46</v>
      </c>
      <c r="E579" s="12" t="s">
        <v>55</v>
      </c>
      <c r="F579" s="12" t="s">
        <v>13</v>
      </c>
      <c r="G579" s="12" t="s">
        <v>66</v>
      </c>
      <c r="H579" s="12" t="s">
        <v>62</v>
      </c>
      <c r="I579" s="12">
        <v>23</v>
      </c>
      <c r="J579" s="12">
        <v>91766</v>
      </c>
      <c r="K579" s="12">
        <v>67.03</v>
      </c>
      <c r="L579" s="12">
        <v>18</v>
      </c>
      <c r="M579" s="12">
        <v>46</v>
      </c>
      <c r="N579" s="12">
        <v>83</v>
      </c>
      <c r="O579" s="12" t="s">
        <v>22</v>
      </c>
      <c r="P579" s="12">
        <v>7.83</v>
      </c>
      <c r="Q579" s="12" t="s">
        <v>23</v>
      </c>
    </row>
    <row r="580" spans="1:17" x14ac:dyDescent="0.3">
      <c r="A580" s="12" t="s">
        <v>1230</v>
      </c>
      <c r="B580" s="12" t="s">
        <v>1231</v>
      </c>
      <c r="C580" s="12" t="s">
        <v>18</v>
      </c>
      <c r="D580" s="12">
        <v>58</v>
      </c>
      <c r="E580" s="12" t="s">
        <v>80</v>
      </c>
      <c r="F580" s="12" t="s">
        <v>15</v>
      </c>
      <c r="G580" s="12" t="s">
        <v>73</v>
      </c>
      <c r="H580" s="12" t="s">
        <v>62</v>
      </c>
      <c r="I580" s="12">
        <v>32</v>
      </c>
      <c r="J580" s="12">
        <v>53461</v>
      </c>
      <c r="K580" s="12">
        <v>92.27</v>
      </c>
      <c r="L580" s="12">
        <v>4</v>
      </c>
      <c r="M580" s="12">
        <v>35</v>
      </c>
      <c r="N580" s="12">
        <v>50</v>
      </c>
      <c r="O580" s="12" t="s">
        <v>21</v>
      </c>
      <c r="P580" s="12">
        <v>8.44</v>
      </c>
      <c r="Q580" s="12" t="s">
        <v>23</v>
      </c>
    </row>
    <row r="581" spans="1:17" x14ac:dyDescent="0.3">
      <c r="A581" s="12" t="s">
        <v>1232</v>
      </c>
      <c r="B581" s="12" t="s">
        <v>1233</v>
      </c>
      <c r="C581" s="12" t="s">
        <v>19</v>
      </c>
      <c r="D581" s="12">
        <v>55</v>
      </c>
      <c r="E581" s="12" t="s">
        <v>91</v>
      </c>
      <c r="F581" s="12" t="s">
        <v>12</v>
      </c>
      <c r="G581" s="12" t="s">
        <v>92</v>
      </c>
      <c r="H581" s="12" t="s">
        <v>62</v>
      </c>
      <c r="I581" s="12">
        <v>12</v>
      </c>
      <c r="J581" s="12">
        <v>68152</v>
      </c>
      <c r="K581" s="12">
        <v>88.79</v>
      </c>
      <c r="L581" s="12">
        <v>10</v>
      </c>
      <c r="M581" s="12">
        <v>32</v>
      </c>
      <c r="N581" s="12">
        <v>61</v>
      </c>
      <c r="O581" s="12" t="s">
        <v>20</v>
      </c>
      <c r="P581" s="12">
        <v>8.0500000000000007</v>
      </c>
      <c r="Q581" s="12" t="s">
        <v>23</v>
      </c>
    </row>
    <row r="582" spans="1:17" x14ac:dyDescent="0.3">
      <c r="A582" s="12" t="s">
        <v>1234</v>
      </c>
      <c r="B582" s="12" t="s">
        <v>1235</v>
      </c>
      <c r="C582" s="12" t="s">
        <v>19</v>
      </c>
      <c r="D582" s="12">
        <v>54</v>
      </c>
      <c r="E582" s="12" t="s">
        <v>65</v>
      </c>
      <c r="F582" s="12" t="s">
        <v>12</v>
      </c>
      <c r="G582" s="12" t="s">
        <v>119</v>
      </c>
      <c r="H582" s="12" t="s">
        <v>62</v>
      </c>
      <c r="I582" s="12">
        <v>0</v>
      </c>
      <c r="J582" s="12">
        <v>96928</v>
      </c>
      <c r="K582" s="12">
        <v>78.89</v>
      </c>
      <c r="L582" s="12">
        <v>1</v>
      </c>
      <c r="M582" s="12">
        <v>16</v>
      </c>
      <c r="N582" s="12">
        <v>43</v>
      </c>
      <c r="O582" s="12" t="s">
        <v>22</v>
      </c>
      <c r="P582" s="12">
        <v>4.96</v>
      </c>
      <c r="Q582" s="12" t="s">
        <v>23</v>
      </c>
    </row>
    <row r="583" spans="1:17" x14ac:dyDescent="0.3">
      <c r="A583" s="12" t="s">
        <v>1236</v>
      </c>
      <c r="B583" s="12" t="s">
        <v>1237</v>
      </c>
      <c r="C583" s="12" t="s">
        <v>18</v>
      </c>
      <c r="D583" s="12">
        <v>40</v>
      </c>
      <c r="E583" s="12" t="s">
        <v>65</v>
      </c>
      <c r="F583" s="12" t="s">
        <v>14</v>
      </c>
      <c r="G583" s="12" t="s">
        <v>110</v>
      </c>
      <c r="H583" s="12" t="s">
        <v>86</v>
      </c>
      <c r="I583" s="12">
        <v>3</v>
      </c>
      <c r="J583" s="12">
        <v>109983</v>
      </c>
      <c r="K583" s="12">
        <v>73.05</v>
      </c>
      <c r="L583" s="12">
        <v>5</v>
      </c>
      <c r="M583" s="12">
        <v>44</v>
      </c>
      <c r="N583" s="12">
        <v>97</v>
      </c>
      <c r="O583" s="12" t="s">
        <v>20</v>
      </c>
      <c r="P583" s="12">
        <v>6.28</v>
      </c>
      <c r="Q583" s="12" t="s">
        <v>23</v>
      </c>
    </row>
    <row r="584" spans="1:17" x14ac:dyDescent="0.3">
      <c r="A584" s="12" t="s">
        <v>1238</v>
      </c>
      <c r="B584" s="12" t="s">
        <v>1239</v>
      </c>
      <c r="C584" s="12" t="s">
        <v>18</v>
      </c>
      <c r="D584" s="12">
        <v>27</v>
      </c>
      <c r="E584" s="12" t="s">
        <v>80</v>
      </c>
      <c r="F584" s="12" t="s">
        <v>12</v>
      </c>
      <c r="G584" s="12" t="s">
        <v>119</v>
      </c>
      <c r="H584" s="12" t="s">
        <v>77</v>
      </c>
      <c r="I584" s="12">
        <v>3</v>
      </c>
      <c r="J584" s="12">
        <v>103366</v>
      </c>
      <c r="K584" s="12">
        <v>93.99</v>
      </c>
      <c r="L584" s="12">
        <v>7</v>
      </c>
      <c r="M584" s="12">
        <v>57</v>
      </c>
      <c r="N584" s="12">
        <v>114</v>
      </c>
      <c r="O584" s="12" t="s">
        <v>22</v>
      </c>
      <c r="P584" s="12">
        <v>7.26</v>
      </c>
      <c r="Q584" s="12" t="s">
        <v>23</v>
      </c>
    </row>
    <row r="585" spans="1:17" x14ac:dyDescent="0.3">
      <c r="A585" s="12" t="s">
        <v>1240</v>
      </c>
      <c r="B585" s="12" t="s">
        <v>1241</v>
      </c>
      <c r="C585" s="12" t="s">
        <v>19</v>
      </c>
      <c r="D585" s="12">
        <v>39</v>
      </c>
      <c r="E585" s="12" t="s">
        <v>80</v>
      </c>
      <c r="F585" s="12" t="s">
        <v>17</v>
      </c>
      <c r="G585" s="12" t="s">
        <v>99</v>
      </c>
      <c r="H585" s="12" t="s">
        <v>77</v>
      </c>
      <c r="I585" s="12">
        <v>9</v>
      </c>
      <c r="J585" s="12">
        <v>121564</v>
      </c>
      <c r="K585" s="12">
        <v>68.52</v>
      </c>
      <c r="L585" s="12">
        <v>14</v>
      </c>
      <c r="M585" s="12">
        <v>6</v>
      </c>
      <c r="N585" s="12">
        <v>51</v>
      </c>
      <c r="O585" s="12" t="s">
        <v>20</v>
      </c>
      <c r="P585" s="12">
        <v>6.97</v>
      </c>
      <c r="Q585" s="12" t="s">
        <v>23</v>
      </c>
    </row>
    <row r="586" spans="1:17" x14ac:dyDescent="0.3">
      <c r="A586" s="12" t="s">
        <v>1242</v>
      </c>
      <c r="B586" s="12" t="s">
        <v>1243</v>
      </c>
      <c r="C586" s="12" t="s">
        <v>18</v>
      </c>
      <c r="D586" s="12">
        <v>41</v>
      </c>
      <c r="E586" s="12" t="s">
        <v>69</v>
      </c>
      <c r="F586" s="12" t="s">
        <v>16</v>
      </c>
      <c r="G586" s="12" t="s">
        <v>181</v>
      </c>
      <c r="H586" s="12" t="s">
        <v>62</v>
      </c>
      <c r="I586" s="12">
        <v>5</v>
      </c>
      <c r="J586" s="12">
        <v>58359</v>
      </c>
      <c r="K586" s="12">
        <v>78.930000000000007</v>
      </c>
      <c r="L586" s="12">
        <v>20</v>
      </c>
      <c r="M586" s="12">
        <v>57</v>
      </c>
      <c r="N586" s="12">
        <v>66</v>
      </c>
      <c r="O586" s="12" t="s">
        <v>21</v>
      </c>
      <c r="P586" s="12">
        <v>9.02</v>
      </c>
      <c r="Q586" s="12" t="s">
        <v>24</v>
      </c>
    </row>
    <row r="587" spans="1:17" x14ac:dyDescent="0.3">
      <c r="A587" s="12" t="s">
        <v>1244</v>
      </c>
      <c r="B587" s="12" t="s">
        <v>1245</v>
      </c>
      <c r="C587" s="12" t="s">
        <v>18</v>
      </c>
      <c r="D587" s="12">
        <v>40</v>
      </c>
      <c r="E587" s="12" t="s">
        <v>80</v>
      </c>
      <c r="F587" s="12" t="s">
        <v>14</v>
      </c>
      <c r="G587" s="12" t="s">
        <v>248</v>
      </c>
      <c r="H587" s="12" t="s">
        <v>57</v>
      </c>
      <c r="I587" s="12">
        <v>6</v>
      </c>
      <c r="J587" s="12">
        <v>147862</v>
      </c>
      <c r="K587" s="12">
        <v>85.42</v>
      </c>
      <c r="L587" s="12">
        <v>19</v>
      </c>
      <c r="M587" s="12">
        <v>58</v>
      </c>
      <c r="N587" s="12">
        <v>18</v>
      </c>
      <c r="O587" s="12" t="s">
        <v>21</v>
      </c>
      <c r="P587" s="12">
        <v>6.63</v>
      </c>
      <c r="Q587" s="12" t="s">
        <v>23</v>
      </c>
    </row>
    <row r="588" spans="1:17" x14ac:dyDescent="0.3">
      <c r="A588" s="12" t="s">
        <v>1246</v>
      </c>
      <c r="B588" s="12" t="s">
        <v>1247</v>
      </c>
      <c r="C588" s="12" t="s">
        <v>18</v>
      </c>
      <c r="D588" s="12">
        <v>42</v>
      </c>
      <c r="E588" s="12" t="s">
        <v>65</v>
      </c>
      <c r="F588" s="12" t="s">
        <v>16</v>
      </c>
      <c r="G588" s="12" t="s">
        <v>271</v>
      </c>
      <c r="H588" s="12" t="s">
        <v>62</v>
      </c>
      <c r="I588" s="12">
        <v>12</v>
      </c>
      <c r="J588" s="12">
        <v>58595</v>
      </c>
      <c r="K588" s="12">
        <v>78.67</v>
      </c>
      <c r="L588" s="12">
        <v>18</v>
      </c>
      <c r="M588" s="12">
        <v>23</v>
      </c>
      <c r="N588" s="12">
        <v>103</v>
      </c>
      <c r="O588" s="12" t="s">
        <v>21</v>
      </c>
      <c r="P588" s="12">
        <v>8.83</v>
      </c>
      <c r="Q588" s="12" t="s">
        <v>24</v>
      </c>
    </row>
    <row r="589" spans="1:17" x14ac:dyDescent="0.3">
      <c r="A589" s="12" t="s">
        <v>1248</v>
      </c>
      <c r="B589" s="12" t="s">
        <v>1249</v>
      </c>
      <c r="C589" s="12" t="s">
        <v>18</v>
      </c>
      <c r="D589" s="12">
        <v>30</v>
      </c>
      <c r="E589" s="12" t="s">
        <v>55</v>
      </c>
      <c r="F589" s="12" t="s">
        <v>14</v>
      </c>
      <c r="G589" s="12" t="s">
        <v>248</v>
      </c>
      <c r="H589" s="12" t="s">
        <v>57</v>
      </c>
      <c r="I589" s="12">
        <v>5</v>
      </c>
      <c r="J589" s="12">
        <v>125755</v>
      </c>
      <c r="K589" s="12">
        <v>99.22</v>
      </c>
      <c r="L589" s="12">
        <v>19</v>
      </c>
      <c r="M589" s="12">
        <v>4</v>
      </c>
      <c r="N589" s="12">
        <v>52</v>
      </c>
      <c r="O589" s="12" t="s">
        <v>22</v>
      </c>
      <c r="P589" s="12">
        <v>8.19</v>
      </c>
      <c r="Q589" s="12" t="s">
        <v>23</v>
      </c>
    </row>
    <row r="590" spans="1:17" x14ac:dyDescent="0.3">
      <c r="A590" s="12" t="s">
        <v>1250</v>
      </c>
      <c r="B590" s="12" t="s">
        <v>11</v>
      </c>
      <c r="C590" s="12" t="s">
        <v>19</v>
      </c>
      <c r="D590" s="12">
        <v>58</v>
      </c>
      <c r="E590" s="12" t="s">
        <v>65</v>
      </c>
      <c r="F590" s="12" t="s">
        <v>13</v>
      </c>
      <c r="G590" s="12" t="s">
        <v>66</v>
      </c>
      <c r="H590" s="12" t="s">
        <v>77</v>
      </c>
      <c r="I590" s="12">
        <v>35</v>
      </c>
      <c r="J590" s="12">
        <v>82597</v>
      </c>
      <c r="K590" s="12">
        <v>70.69</v>
      </c>
      <c r="L590" s="12">
        <v>15</v>
      </c>
      <c r="M590" s="12">
        <v>51</v>
      </c>
      <c r="N590" s="12">
        <v>102</v>
      </c>
      <c r="O590" s="12" t="s">
        <v>20</v>
      </c>
      <c r="P590" s="12">
        <v>10</v>
      </c>
      <c r="Q590" s="12" t="s">
        <v>24</v>
      </c>
    </row>
    <row r="591" spans="1:17" x14ac:dyDescent="0.3">
      <c r="A591" s="12" t="s">
        <v>1251</v>
      </c>
      <c r="B591" s="12" t="s">
        <v>1252</v>
      </c>
      <c r="C591" s="12" t="s">
        <v>18</v>
      </c>
      <c r="D591" s="12">
        <v>47</v>
      </c>
      <c r="E591" s="12" t="s">
        <v>65</v>
      </c>
      <c r="F591" s="12" t="s">
        <v>15</v>
      </c>
      <c r="G591" s="12" t="s">
        <v>73</v>
      </c>
      <c r="H591" s="12" t="s">
        <v>57</v>
      </c>
      <c r="I591" s="12">
        <v>19</v>
      </c>
      <c r="J591" s="12">
        <v>95418</v>
      </c>
      <c r="K591" s="12">
        <v>75.180000000000007</v>
      </c>
      <c r="L591" s="12">
        <v>13</v>
      </c>
      <c r="M591" s="12">
        <v>21</v>
      </c>
      <c r="N591" s="12">
        <v>42</v>
      </c>
      <c r="O591" s="12" t="s">
        <v>21</v>
      </c>
      <c r="P591" s="12">
        <v>8.33</v>
      </c>
      <c r="Q591" s="12" t="s">
        <v>23</v>
      </c>
    </row>
    <row r="592" spans="1:17" x14ac:dyDescent="0.3">
      <c r="A592" s="12" t="s">
        <v>1253</v>
      </c>
      <c r="B592" s="12" t="s">
        <v>1254</v>
      </c>
      <c r="C592" s="12" t="s">
        <v>19</v>
      </c>
      <c r="D592" s="12">
        <v>47</v>
      </c>
      <c r="E592" s="12" t="s">
        <v>91</v>
      </c>
      <c r="F592" s="12" t="s">
        <v>16</v>
      </c>
      <c r="G592" s="12" t="s">
        <v>76</v>
      </c>
      <c r="H592" s="12" t="s">
        <v>77</v>
      </c>
      <c r="I592" s="12">
        <v>6</v>
      </c>
      <c r="J592" s="12">
        <v>118811</v>
      </c>
      <c r="K592" s="12">
        <v>88.28</v>
      </c>
      <c r="L592" s="12">
        <v>19</v>
      </c>
      <c r="M592" s="12">
        <v>59</v>
      </c>
      <c r="N592" s="12">
        <v>92</v>
      </c>
      <c r="O592" s="12" t="s">
        <v>22</v>
      </c>
      <c r="P592" s="12">
        <v>7.95</v>
      </c>
      <c r="Q592" s="12" t="s">
        <v>23</v>
      </c>
    </row>
    <row r="593" spans="1:17" x14ac:dyDescent="0.3">
      <c r="A593" s="12" t="s">
        <v>1255</v>
      </c>
      <c r="B593" s="12" t="s">
        <v>1256</v>
      </c>
      <c r="C593" s="12" t="s">
        <v>18</v>
      </c>
      <c r="D593" s="12">
        <v>30</v>
      </c>
      <c r="E593" s="12" t="s">
        <v>65</v>
      </c>
      <c r="F593" s="12" t="s">
        <v>16</v>
      </c>
      <c r="G593" s="12" t="s">
        <v>76</v>
      </c>
      <c r="H593" s="12" t="s">
        <v>77</v>
      </c>
      <c r="I593" s="12">
        <v>6</v>
      </c>
      <c r="J593" s="12">
        <v>46984</v>
      </c>
      <c r="K593" s="12">
        <v>72.349999999999994</v>
      </c>
      <c r="L593" s="12">
        <v>3</v>
      </c>
      <c r="M593" s="12">
        <v>24</v>
      </c>
      <c r="N593" s="12">
        <v>59</v>
      </c>
      <c r="O593" s="12" t="s">
        <v>21</v>
      </c>
      <c r="P593" s="12">
        <v>4.9800000000000004</v>
      </c>
      <c r="Q593" s="12" t="s">
        <v>23</v>
      </c>
    </row>
    <row r="594" spans="1:17" x14ac:dyDescent="0.3">
      <c r="A594" s="12" t="s">
        <v>1257</v>
      </c>
      <c r="B594" s="12" t="s">
        <v>1258</v>
      </c>
      <c r="C594" s="12" t="s">
        <v>19</v>
      </c>
      <c r="D594" s="12">
        <v>48</v>
      </c>
      <c r="E594" s="12" t="s">
        <v>65</v>
      </c>
      <c r="F594" s="12" t="s">
        <v>16</v>
      </c>
      <c r="G594" s="12" t="s">
        <v>181</v>
      </c>
      <c r="H594" s="12" t="s">
        <v>77</v>
      </c>
      <c r="I594" s="12">
        <v>26</v>
      </c>
      <c r="J594" s="12">
        <v>54385</v>
      </c>
      <c r="K594" s="12">
        <v>77.25</v>
      </c>
      <c r="L594" s="12">
        <v>20</v>
      </c>
      <c r="M594" s="12">
        <v>40</v>
      </c>
      <c r="N594" s="12">
        <v>110</v>
      </c>
      <c r="O594" s="12" t="s">
        <v>22</v>
      </c>
      <c r="P594" s="12">
        <v>10</v>
      </c>
      <c r="Q594" s="12" t="s">
        <v>24</v>
      </c>
    </row>
    <row r="595" spans="1:17" x14ac:dyDescent="0.3">
      <c r="A595" s="12" t="s">
        <v>1259</v>
      </c>
      <c r="B595" s="12" t="s">
        <v>1260</v>
      </c>
      <c r="C595" s="12" t="s">
        <v>18</v>
      </c>
      <c r="D595" s="12">
        <v>50</v>
      </c>
      <c r="E595" s="12" t="s">
        <v>60</v>
      </c>
      <c r="F595" s="12" t="s">
        <v>14</v>
      </c>
      <c r="G595" s="12" t="s">
        <v>110</v>
      </c>
      <c r="H595" s="12" t="s">
        <v>77</v>
      </c>
      <c r="I595" s="12">
        <v>4</v>
      </c>
      <c r="J595" s="12">
        <v>178751</v>
      </c>
      <c r="K595" s="12">
        <v>98.87</v>
      </c>
      <c r="L595" s="12">
        <v>8</v>
      </c>
      <c r="M595" s="12">
        <v>4</v>
      </c>
      <c r="N595" s="12">
        <v>100</v>
      </c>
      <c r="O595" s="12" t="s">
        <v>20</v>
      </c>
      <c r="P595" s="12">
        <v>7.4</v>
      </c>
      <c r="Q595" s="12" t="s">
        <v>23</v>
      </c>
    </row>
    <row r="596" spans="1:17" x14ac:dyDescent="0.3">
      <c r="A596" s="12" t="s">
        <v>1261</v>
      </c>
      <c r="B596" s="12" t="s">
        <v>1262</v>
      </c>
      <c r="C596" s="12" t="s">
        <v>18</v>
      </c>
      <c r="D596" s="12">
        <v>27</v>
      </c>
      <c r="E596" s="12" t="s">
        <v>60</v>
      </c>
      <c r="F596" s="12" t="s">
        <v>17</v>
      </c>
      <c r="G596" s="12" t="s">
        <v>99</v>
      </c>
      <c r="H596" s="12" t="s">
        <v>77</v>
      </c>
      <c r="I596" s="12">
        <v>4</v>
      </c>
      <c r="J596" s="12">
        <v>125653</v>
      </c>
      <c r="K596" s="12">
        <v>85.59</v>
      </c>
      <c r="L596" s="12">
        <v>11</v>
      </c>
      <c r="M596" s="12">
        <v>25</v>
      </c>
      <c r="N596" s="12">
        <v>23</v>
      </c>
      <c r="O596" s="12" t="s">
        <v>21</v>
      </c>
      <c r="P596" s="12">
        <v>6.1</v>
      </c>
      <c r="Q596" s="12" t="s">
        <v>23</v>
      </c>
    </row>
    <row r="597" spans="1:17" x14ac:dyDescent="0.3">
      <c r="A597" s="12" t="s">
        <v>1263</v>
      </c>
      <c r="B597" s="12" t="s">
        <v>1264</v>
      </c>
      <c r="C597" s="12" t="s">
        <v>18</v>
      </c>
      <c r="D597" s="12">
        <v>35</v>
      </c>
      <c r="E597" s="12" t="s">
        <v>60</v>
      </c>
      <c r="F597" s="12" t="s">
        <v>13</v>
      </c>
      <c r="G597" s="12" t="s">
        <v>56</v>
      </c>
      <c r="H597" s="12" t="s">
        <v>77</v>
      </c>
      <c r="I597" s="12">
        <v>5</v>
      </c>
      <c r="J597" s="12">
        <v>61286</v>
      </c>
      <c r="K597" s="12">
        <v>79.900000000000006</v>
      </c>
      <c r="L597" s="12">
        <v>10</v>
      </c>
      <c r="M597" s="12">
        <v>59</v>
      </c>
      <c r="N597" s="12">
        <v>60</v>
      </c>
      <c r="O597" s="12" t="s">
        <v>20</v>
      </c>
      <c r="P597" s="12">
        <v>6</v>
      </c>
      <c r="Q597" s="12" t="s">
        <v>23</v>
      </c>
    </row>
    <row r="598" spans="1:17" x14ac:dyDescent="0.3">
      <c r="A598" s="12" t="s">
        <v>1265</v>
      </c>
      <c r="B598" s="12" t="s">
        <v>1266</v>
      </c>
      <c r="C598" s="12" t="s">
        <v>19</v>
      </c>
      <c r="D598" s="12">
        <v>45</v>
      </c>
      <c r="E598" s="12" t="s">
        <v>80</v>
      </c>
      <c r="F598" s="12" t="s">
        <v>13</v>
      </c>
      <c r="G598" s="12" t="s">
        <v>107</v>
      </c>
      <c r="H598" s="12" t="s">
        <v>57</v>
      </c>
      <c r="I598" s="12">
        <v>15</v>
      </c>
      <c r="J598" s="12">
        <v>94947</v>
      </c>
      <c r="K598" s="12">
        <v>77.819999999999993</v>
      </c>
      <c r="L598" s="12">
        <v>4</v>
      </c>
      <c r="M598" s="12">
        <v>35</v>
      </c>
      <c r="N598" s="12">
        <v>22</v>
      </c>
      <c r="O598" s="12" t="s">
        <v>22</v>
      </c>
      <c r="P598" s="12">
        <v>5.0999999999999996</v>
      </c>
      <c r="Q598" s="12" t="s">
        <v>23</v>
      </c>
    </row>
    <row r="599" spans="1:17" x14ac:dyDescent="0.3">
      <c r="A599" s="12" t="s">
        <v>1267</v>
      </c>
      <c r="B599" s="12" t="s">
        <v>1268</v>
      </c>
      <c r="C599" s="12" t="s">
        <v>19</v>
      </c>
      <c r="D599" s="12">
        <v>42</v>
      </c>
      <c r="E599" s="12" t="s">
        <v>69</v>
      </c>
      <c r="F599" s="12" t="s">
        <v>13</v>
      </c>
      <c r="G599" s="12" t="s">
        <v>66</v>
      </c>
      <c r="H599" s="12" t="s">
        <v>62</v>
      </c>
      <c r="I599" s="12">
        <v>10</v>
      </c>
      <c r="J599" s="12">
        <v>75434</v>
      </c>
      <c r="K599" s="12">
        <v>74.739999999999995</v>
      </c>
      <c r="L599" s="12">
        <v>2</v>
      </c>
      <c r="M599" s="12">
        <v>31</v>
      </c>
      <c r="N599" s="12">
        <v>70</v>
      </c>
      <c r="O599" s="12" t="s">
        <v>20</v>
      </c>
      <c r="P599" s="12">
        <v>5.31</v>
      </c>
      <c r="Q599" s="12" t="s">
        <v>23</v>
      </c>
    </row>
    <row r="600" spans="1:17" x14ac:dyDescent="0.3">
      <c r="A600" s="12" t="s">
        <v>1269</v>
      </c>
      <c r="B600" s="12" t="s">
        <v>1270</v>
      </c>
      <c r="C600" s="12" t="s">
        <v>18</v>
      </c>
      <c r="D600" s="12">
        <v>41</v>
      </c>
      <c r="E600" s="12" t="s">
        <v>65</v>
      </c>
      <c r="F600" s="12" t="s">
        <v>14</v>
      </c>
      <c r="G600" s="12" t="s">
        <v>85</v>
      </c>
      <c r="H600" s="12" t="s">
        <v>57</v>
      </c>
      <c r="I600" s="12">
        <v>11</v>
      </c>
      <c r="J600" s="12">
        <v>153152</v>
      </c>
      <c r="K600" s="12">
        <v>66.2</v>
      </c>
      <c r="L600" s="12">
        <v>2</v>
      </c>
      <c r="M600" s="12">
        <v>0</v>
      </c>
      <c r="N600" s="12">
        <v>18</v>
      </c>
      <c r="O600" s="12" t="s">
        <v>21</v>
      </c>
      <c r="P600" s="12">
        <v>5.8</v>
      </c>
      <c r="Q600" s="12" t="s">
        <v>23</v>
      </c>
    </row>
    <row r="601" spans="1:17" x14ac:dyDescent="0.3">
      <c r="A601" s="12" t="s">
        <v>1271</v>
      </c>
      <c r="B601" s="12" t="s">
        <v>1272</v>
      </c>
      <c r="C601" s="12" t="s">
        <v>19</v>
      </c>
      <c r="D601" s="12">
        <v>45</v>
      </c>
      <c r="E601" s="12" t="s">
        <v>55</v>
      </c>
      <c r="F601" s="12" t="s">
        <v>15</v>
      </c>
      <c r="G601" s="12" t="s">
        <v>61</v>
      </c>
      <c r="H601" s="12" t="s">
        <v>62</v>
      </c>
      <c r="I601" s="12">
        <v>24</v>
      </c>
      <c r="J601" s="12">
        <v>132140</v>
      </c>
      <c r="K601" s="12">
        <v>80.61</v>
      </c>
      <c r="L601" s="12">
        <v>12</v>
      </c>
      <c r="M601" s="12">
        <v>11</v>
      </c>
      <c r="N601" s="12">
        <v>33</v>
      </c>
      <c r="O601" s="12" t="s">
        <v>21</v>
      </c>
      <c r="P601" s="12">
        <v>6.96</v>
      </c>
      <c r="Q601" s="12" t="s">
        <v>23</v>
      </c>
    </row>
    <row r="602" spans="1:17" x14ac:dyDescent="0.3">
      <c r="A602" s="12" t="s">
        <v>1273</v>
      </c>
      <c r="B602" s="12" t="s">
        <v>1274</v>
      </c>
      <c r="C602" s="12" t="s">
        <v>18</v>
      </c>
      <c r="D602" s="12">
        <v>36</v>
      </c>
      <c r="E602" s="12" t="s">
        <v>69</v>
      </c>
      <c r="F602" s="12" t="s">
        <v>13</v>
      </c>
      <c r="G602" s="12" t="s">
        <v>56</v>
      </c>
      <c r="H602" s="12" t="s">
        <v>77</v>
      </c>
      <c r="I602" s="12">
        <v>6</v>
      </c>
      <c r="J602" s="12">
        <v>69681</v>
      </c>
      <c r="K602" s="12">
        <v>96.52</v>
      </c>
      <c r="L602" s="12">
        <v>16</v>
      </c>
      <c r="M602" s="12">
        <v>44</v>
      </c>
      <c r="N602" s="12">
        <v>56</v>
      </c>
      <c r="O602" s="12" t="s">
        <v>21</v>
      </c>
      <c r="P602" s="12">
        <v>7.68</v>
      </c>
      <c r="Q602" s="12" t="s">
        <v>23</v>
      </c>
    </row>
    <row r="603" spans="1:17" x14ac:dyDescent="0.3">
      <c r="A603" s="12" t="s">
        <v>1275</v>
      </c>
      <c r="B603" s="12" t="s">
        <v>1276</v>
      </c>
      <c r="C603" s="12" t="s">
        <v>19</v>
      </c>
      <c r="D603" s="12">
        <v>30</v>
      </c>
      <c r="E603" s="12" t="s">
        <v>91</v>
      </c>
      <c r="F603" s="12" t="s">
        <v>16</v>
      </c>
      <c r="G603" s="12" t="s">
        <v>76</v>
      </c>
      <c r="H603" s="12" t="s">
        <v>77</v>
      </c>
      <c r="I603" s="12">
        <v>3</v>
      </c>
      <c r="J603" s="12">
        <v>93954</v>
      </c>
      <c r="K603" s="12">
        <v>91.56</v>
      </c>
      <c r="L603" s="12">
        <v>2</v>
      </c>
      <c r="M603" s="12">
        <v>31</v>
      </c>
      <c r="N603" s="12">
        <v>90</v>
      </c>
      <c r="O603" s="12" t="s">
        <v>20</v>
      </c>
      <c r="P603" s="12">
        <v>6.23</v>
      </c>
      <c r="Q603" s="12" t="s">
        <v>23</v>
      </c>
    </row>
    <row r="604" spans="1:17" x14ac:dyDescent="0.3">
      <c r="A604" s="12" t="s">
        <v>1277</v>
      </c>
      <c r="B604" s="12" t="s">
        <v>1278</v>
      </c>
      <c r="C604" s="12" t="s">
        <v>18</v>
      </c>
      <c r="D604" s="12">
        <v>50</v>
      </c>
      <c r="E604" s="12" t="s">
        <v>69</v>
      </c>
      <c r="F604" s="12" t="s">
        <v>15</v>
      </c>
      <c r="G604" s="12" t="s">
        <v>73</v>
      </c>
      <c r="H604" s="12" t="s">
        <v>57</v>
      </c>
      <c r="I604" s="12">
        <v>9</v>
      </c>
      <c r="J604" s="12">
        <v>103902</v>
      </c>
      <c r="K604" s="12">
        <v>76.45</v>
      </c>
      <c r="L604" s="12">
        <v>17</v>
      </c>
      <c r="M604" s="12">
        <v>5</v>
      </c>
      <c r="N604" s="12">
        <v>89</v>
      </c>
      <c r="O604" s="12" t="s">
        <v>21</v>
      </c>
      <c r="P604" s="12">
        <v>8.43</v>
      </c>
      <c r="Q604" s="12" t="s">
        <v>23</v>
      </c>
    </row>
    <row r="605" spans="1:17" x14ac:dyDescent="0.3">
      <c r="A605" s="12" t="s">
        <v>1279</v>
      </c>
      <c r="B605" s="12" t="s">
        <v>1280</v>
      </c>
      <c r="C605" s="12" t="s">
        <v>19</v>
      </c>
      <c r="D605" s="12">
        <v>47</v>
      </c>
      <c r="E605" s="12" t="s">
        <v>91</v>
      </c>
      <c r="F605" s="12" t="s">
        <v>15</v>
      </c>
      <c r="G605" s="12" t="s">
        <v>61</v>
      </c>
      <c r="H605" s="12" t="s">
        <v>77</v>
      </c>
      <c r="I605" s="12">
        <v>14</v>
      </c>
      <c r="J605" s="12">
        <v>146675</v>
      </c>
      <c r="K605" s="12">
        <v>73.13</v>
      </c>
      <c r="L605" s="12">
        <v>2</v>
      </c>
      <c r="M605" s="12">
        <v>55</v>
      </c>
      <c r="N605" s="12">
        <v>13</v>
      </c>
      <c r="O605" s="12" t="s">
        <v>21</v>
      </c>
      <c r="P605" s="12">
        <v>4.97</v>
      </c>
      <c r="Q605" s="12" t="s">
        <v>23</v>
      </c>
    </row>
    <row r="606" spans="1:17" x14ac:dyDescent="0.3">
      <c r="A606" s="12" t="s">
        <v>1281</v>
      </c>
      <c r="B606" s="12" t="s">
        <v>1282</v>
      </c>
      <c r="C606" s="12" t="s">
        <v>19</v>
      </c>
      <c r="D606" s="12">
        <v>22</v>
      </c>
      <c r="E606" s="12" t="s">
        <v>65</v>
      </c>
      <c r="F606" s="12" t="s">
        <v>12</v>
      </c>
      <c r="G606" s="12" t="s">
        <v>92</v>
      </c>
      <c r="H606" s="12" t="s">
        <v>62</v>
      </c>
      <c r="I606" s="12">
        <v>1</v>
      </c>
      <c r="J606" s="12">
        <v>119494</v>
      </c>
      <c r="K606" s="12">
        <v>91.3</v>
      </c>
      <c r="L606" s="12">
        <v>1</v>
      </c>
      <c r="M606" s="12">
        <v>28</v>
      </c>
      <c r="N606" s="12">
        <v>26</v>
      </c>
      <c r="O606" s="12" t="s">
        <v>22</v>
      </c>
      <c r="P606" s="12">
        <v>5.17</v>
      </c>
      <c r="Q606" s="12" t="s">
        <v>23</v>
      </c>
    </row>
    <row r="607" spans="1:17" x14ac:dyDescent="0.3">
      <c r="A607" s="12" t="s">
        <v>1283</v>
      </c>
      <c r="B607" s="12" t="s">
        <v>1284</v>
      </c>
      <c r="C607" s="12" t="s">
        <v>19</v>
      </c>
      <c r="D607" s="12">
        <v>28</v>
      </c>
      <c r="E607" s="12" t="s">
        <v>55</v>
      </c>
      <c r="F607" s="12" t="s">
        <v>12</v>
      </c>
      <c r="G607" s="12" t="s">
        <v>152</v>
      </c>
      <c r="H607" s="12" t="s">
        <v>57</v>
      </c>
      <c r="I607" s="12">
        <v>7</v>
      </c>
      <c r="J607" s="12">
        <v>55689</v>
      </c>
      <c r="K607" s="12">
        <v>81.819999999999993</v>
      </c>
      <c r="L607" s="12">
        <v>13</v>
      </c>
      <c r="M607" s="12">
        <v>38</v>
      </c>
      <c r="N607" s="12">
        <v>77</v>
      </c>
      <c r="O607" s="12" t="s">
        <v>21</v>
      </c>
      <c r="P607" s="12">
        <v>8.15</v>
      </c>
      <c r="Q607" s="12" t="s">
        <v>23</v>
      </c>
    </row>
    <row r="608" spans="1:17" x14ac:dyDescent="0.3">
      <c r="A608" s="12" t="s">
        <v>1285</v>
      </c>
      <c r="B608" s="12" t="s">
        <v>1286</v>
      </c>
      <c r="C608" s="12" t="s">
        <v>18</v>
      </c>
      <c r="D608" s="12">
        <v>45</v>
      </c>
      <c r="E608" s="12" t="s">
        <v>60</v>
      </c>
      <c r="F608" s="12" t="s">
        <v>13</v>
      </c>
      <c r="G608" s="12" t="s">
        <v>66</v>
      </c>
      <c r="H608" s="12" t="s">
        <v>86</v>
      </c>
      <c r="I608" s="12">
        <v>22</v>
      </c>
      <c r="J608" s="12">
        <v>59854</v>
      </c>
      <c r="K608" s="12">
        <v>74.5</v>
      </c>
      <c r="L608" s="12">
        <v>4</v>
      </c>
      <c r="M608" s="12">
        <v>37</v>
      </c>
      <c r="N608" s="12">
        <v>8</v>
      </c>
      <c r="O608" s="12" t="s">
        <v>22</v>
      </c>
      <c r="P608" s="12">
        <v>5.95</v>
      </c>
      <c r="Q608" s="12" t="s">
        <v>23</v>
      </c>
    </row>
    <row r="609" spans="1:17" x14ac:dyDescent="0.3">
      <c r="A609" s="12" t="s">
        <v>1287</v>
      </c>
      <c r="B609" s="12" t="s">
        <v>1288</v>
      </c>
      <c r="C609" s="12" t="s">
        <v>19</v>
      </c>
      <c r="D609" s="12">
        <v>48</v>
      </c>
      <c r="E609" s="12" t="s">
        <v>65</v>
      </c>
      <c r="F609" s="12" t="s">
        <v>15</v>
      </c>
      <c r="G609" s="12" t="s">
        <v>73</v>
      </c>
      <c r="H609" s="12" t="s">
        <v>57</v>
      </c>
      <c r="I609" s="12">
        <v>26</v>
      </c>
      <c r="J609" s="12">
        <v>107075</v>
      </c>
      <c r="K609" s="12">
        <v>99.89</v>
      </c>
      <c r="L609" s="12">
        <v>6</v>
      </c>
      <c r="M609" s="12">
        <v>19</v>
      </c>
      <c r="N609" s="12">
        <v>114</v>
      </c>
      <c r="O609" s="12" t="s">
        <v>20</v>
      </c>
      <c r="P609" s="12">
        <v>9.14</v>
      </c>
      <c r="Q609" s="12" t="s">
        <v>24</v>
      </c>
    </row>
    <row r="610" spans="1:17" x14ac:dyDescent="0.3">
      <c r="A610" s="12" t="s">
        <v>1289</v>
      </c>
      <c r="B610" s="12" t="s">
        <v>1290</v>
      </c>
      <c r="C610" s="12" t="s">
        <v>18</v>
      </c>
      <c r="D610" s="12">
        <v>40</v>
      </c>
      <c r="E610" s="12" t="s">
        <v>60</v>
      </c>
      <c r="F610" s="12" t="s">
        <v>17</v>
      </c>
      <c r="G610" s="12" t="s">
        <v>99</v>
      </c>
      <c r="H610" s="12" t="s">
        <v>57</v>
      </c>
      <c r="I610" s="12">
        <v>3</v>
      </c>
      <c r="J610" s="12">
        <v>133228</v>
      </c>
      <c r="K610" s="12">
        <v>66.569999999999993</v>
      </c>
      <c r="L610" s="12">
        <v>13</v>
      </c>
      <c r="M610" s="12">
        <v>52</v>
      </c>
      <c r="N610" s="12">
        <v>52</v>
      </c>
      <c r="O610" s="12" t="s">
        <v>22</v>
      </c>
      <c r="P610" s="12">
        <v>5.37</v>
      </c>
      <c r="Q610" s="12" t="s">
        <v>23</v>
      </c>
    </row>
    <row r="611" spans="1:17" x14ac:dyDescent="0.3">
      <c r="A611" s="12" t="s">
        <v>1291</v>
      </c>
      <c r="B611" s="12" t="s">
        <v>1292</v>
      </c>
      <c r="C611" s="12" t="s">
        <v>18</v>
      </c>
      <c r="D611" s="12">
        <v>50</v>
      </c>
      <c r="E611" s="12" t="s">
        <v>55</v>
      </c>
      <c r="F611" s="12" t="s">
        <v>16</v>
      </c>
      <c r="G611" s="12" t="s">
        <v>181</v>
      </c>
      <c r="H611" s="12" t="s">
        <v>77</v>
      </c>
      <c r="I611" s="12">
        <v>14</v>
      </c>
      <c r="J611" s="12">
        <v>39020</v>
      </c>
      <c r="K611" s="12">
        <v>92.43</v>
      </c>
      <c r="L611" s="12">
        <v>16</v>
      </c>
      <c r="M611" s="12">
        <v>47</v>
      </c>
      <c r="N611" s="12">
        <v>48</v>
      </c>
      <c r="O611" s="12" t="s">
        <v>22</v>
      </c>
      <c r="P611" s="12">
        <v>7.68</v>
      </c>
      <c r="Q611" s="12" t="s">
        <v>23</v>
      </c>
    </row>
    <row r="612" spans="1:17" x14ac:dyDescent="0.3">
      <c r="A612" s="12" t="s">
        <v>1293</v>
      </c>
      <c r="B612" s="12" t="s">
        <v>1294</v>
      </c>
      <c r="C612" s="12" t="s">
        <v>18</v>
      </c>
      <c r="D612" s="12">
        <v>54</v>
      </c>
      <c r="E612" s="12" t="s">
        <v>91</v>
      </c>
      <c r="F612" s="12" t="s">
        <v>13</v>
      </c>
      <c r="G612" s="12" t="s">
        <v>107</v>
      </c>
      <c r="H612" s="12" t="s">
        <v>62</v>
      </c>
      <c r="I612" s="12">
        <v>23</v>
      </c>
      <c r="J612" s="12">
        <v>81483</v>
      </c>
      <c r="K612" s="12">
        <v>80.08</v>
      </c>
      <c r="L612" s="12">
        <v>16</v>
      </c>
      <c r="M612" s="12">
        <v>51</v>
      </c>
      <c r="N612" s="12">
        <v>54</v>
      </c>
      <c r="O612" s="12" t="s">
        <v>21</v>
      </c>
      <c r="P612" s="12">
        <v>8.1300000000000008</v>
      </c>
      <c r="Q612" s="12" t="s">
        <v>23</v>
      </c>
    </row>
    <row r="613" spans="1:17" x14ac:dyDescent="0.3">
      <c r="A613" s="12" t="s">
        <v>1295</v>
      </c>
      <c r="B613" s="12" t="s">
        <v>1296</v>
      </c>
      <c r="C613" s="12" t="s">
        <v>19</v>
      </c>
      <c r="D613" s="12">
        <v>56</v>
      </c>
      <c r="E613" s="12" t="s">
        <v>65</v>
      </c>
      <c r="F613" s="12" t="s">
        <v>13</v>
      </c>
      <c r="G613" s="12" t="s">
        <v>107</v>
      </c>
      <c r="H613" s="12" t="s">
        <v>62</v>
      </c>
      <c r="I613" s="12">
        <v>12</v>
      </c>
      <c r="J613" s="12">
        <v>58180</v>
      </c>
      <c r="K613" s="12">
        <v>69.56</v>
      </c>
      <c r="L613" s="12">
        <v>8</v>
      </c>
      <c r="M613" s="12">
        <v>49</v>
      </c>
      <c r="N613" s="12">
        <v>94</v>
      </c>
      <c r="O613" s="12" t="s">
        <v>20</v>
      </c>
      <c r="P613" s="12">
        <v>6.97</v>
      </c>
      <c r="Q613" s="12" t="s">
        <v>23</v>
      </c>
    </row>
    <row r="614" spans="1:17" x14ac:dyDescent="0.3">
      <c r="A614" s="12" t="s">
        <v>1297</v>
      </c>
      <c r="B614" s="12" t="s">
        <v>1298</v>
      </c>
      <c r="C614" s="12" t="s">
        <v>19</v>
      </c>
      <c r="D614" s="12">
        <v>47</v>
      </c>
      <c r="E614" s="12" t="s">
        <v>55</v>
      </c>
      <c r="F614" s="12" t="s">
        <v>13</v>
      </c>
      <c r="G614" s="12" t="s">
        <v>66</v>
      </c>
      <c r="H614" s="12" t="s">
        <v>57</v>
      </c>
      <c r="I614" s="12">
        <v>20</v>
      </c>
      <c r="J614" s="12">
        <v>55207</v>
      </c>
      <c r="K614" s="12">
        <v>69.48</v>
      </c>
      <c r="L614" s="12">
        <v>8</v>
      </c>
      <c r="M614" s="12">
        <v>51</v>
      </c>
      <c r="N614" s="12">
        <v>57</v>
      </c>
      <c r="O614" s="12" t="s">
        <v>20</v>
      </c>
      <c r="P614" s="12">
        <v>7.46</v>
      </c>
      <c r="Q614" s="12" t="s">
        <v>23</v>
      </c>
    </row>
    <row r="615" spans="1:17" x14ac:dyDescent="0.3">
      <c r="A615" s="12" t="s">
        <v>1299</v>
      </c>
      <c r="B615" s="12" t="s">
        <v>1300</v>
      </c>
      <c r="C615" s="12" t="s">
        <v>18</v>
      </c>
      <c r="D615" s="12">
        <v>57</v>
      </c>
      <c r="E615" s="12" t="s">
        <v>55</v>
      </c>
      <c r="F615" s="12" t="s">
        <v>14</v>
      </c>
      <c r="G615" s="12" t="s">
        <v>110</v>
      </c>
      <c r="H615" s="12" t="s">
        <v>86</v>
      </c>
      <c r="I615" s="12">
        <v>33</v>
      </c>
      <c r="J615" s="12">
        <v>72023</v>
      </c>
      <c r="K615" s="12">
        <v>80.22</v>
      </c>
      <c r="L615" s="12">
        <v>15</v>
      </c>
      <c r="M615" s="12">
        <v>47</v>
      </c>
      <c r="N615" s="12">
        <v>113</v>
      </c>
      <c r="O615" s="12" t="s">
        <v>20</v>
      </c>
      <c r="P615" s="12">
        <v>10</v>
      </c>
      <c r="Q615" s="12" t="s">
        <v>24</v>
      </c>
    </row>
    <row r="616" spans="1:17" x14ac:dyDescent="0.3">
      <c r="A616" s="12" t="s">
        <v>1301</v>
      </c>
      <c r="B616" s="12" t="s">
        <v>1302</v>
      </c>
      <c r="C616" s="12" t="s">
        <v>19</v>
      </c>
      <c r="D616" s="12">
        <v>29</v>
      </c>
      <c r="E616" s="12" t="s">
        <v>65</v>
      </c>
      <c r="F616" s="12" t="s">
        <v>13</v>
      </c>
      <c r="G616" s="12" t="s">
        <v>107</v>
      </c>
      <c r="H616" s="12" t="s">
        <v>57</v>
      </c>
      <c r="I616" s="12">
        <v>6</v>
      </c>
      <c r="J616" s="12">
        <v>61382</v>
      </c>
      <c r="K616" s="12">
        <v>88.37</v>
      </c>
      <c r="L616" s="12">
        <v>9</v>
      </c>
      <c r="M616" s="12">
        <v>44</v>
      </c>
      <c r="N616" s="12">
        <v>29</v>
      </c>
      <c r="O616" s="12" t="s">
        <v>20</v>
      </c>
      <c r="P616" s="12">
        <v>6.54</v>
      </c>
      <c r="Q616" s="12" t="s">
        <v>23</v>
      </c>
    </row>
    <row r="617" spans="1:17" x14ac:dyDescent="0.3">
      <c r="A617" s="12" t="s">
        <v>1303</v>
      </c>
      <c r="B617" s="12" t="s">
        <v>1304</v>
      </c>
      <c r="C617" s="12" t="s">
        <v>18</v>
      </c>
      <c r="D617" s="12">
        <v>24</v>
      </c>
      <c r="E617" s="12" t="s">
        <v>55</v>
      </c>
      <c r="F617" s="12" t="s">
        <v>16</v>
      </c>
      <c r="G617" s="12" t="s">
        <v>181</v>
      </c>
      <c r="H617" s="12" t="s">
        <v>62</v>
      </c>
      <c r="I617" s="12">
        <v>2</v>
      </c>
      <c r="J617" s="12">
        <v>77471</v>
      </c>
      <c r="K617" s="12">
        <v>73.59</v>
      </c>
      <c r="L617" s="12">
        <v>3</v>
      </c>
      <c r="M617" s="12">
        <v>27</v>
      </c>
      <c r="N617" s="12">
        <v>115</v>
      </c>
      <c r="O617" s="12" t="s">
        <v>20</v>
      </c>
      <c r="P617" s="12">
        <v>6.96</v>
      </c>
      <c r="Q617" s="12" t="s">
        <v>23</v>
      </c>
    </row>
    <row r="618" spans="1:17" x14ac:dyDescent="0.3">
      <c r="A618" s="12" t="s">
        <v>1305</v>
      </c>
      <c r="B618" s="12" t="s">
        <v>1306</v>
      </c>
      <c r="C618" s="12" t="s">
        <v>18</v>
      </c>
      <c r="D618" s="12">
        <v>28</v>
      </c>
      <c r="E618" s="12" t="s">
        <v>80</v>
      </c>
      <c r="F618" s="12" t="s">
        <v>17</v>
      </c>
      <c r="G618" s="12" t="s">
        <v>102</v>
      </c>
      <c r="H618" s="12" t="s">
        <v>77</v>
      </c>
      <c r="I618" s="12">
        <v>5</v>
      </c>
      <c r="J618" s="12">
        <v>70818</v>
      </c>
      <c r="K618" s="12">
        <v>99</v>
      </c>
      <c r="L618" s="12">
        <v>19</v>
      </c>
      <c r="M618" s="12">
        <v>43</v>
      </c>
      <c r="N618" s="12">
        <v>95</v>
      </c>
      <c r="O618" s="12" t="s">
        <v>20</v>
      </c>
      <c r="P618" s="12">
        <v>9.75</v>
      </c>
      <c r="Q618" s="12" t="s">
        <v>24</v>
      </c>
    </row>
    <row r="619" spans="1:17" x14ac:dyDescent="0.3">
      <c r="A619" s="12" t="s">
        <v>1307</v>
      </c>
      <c r="B619" s="12" t="s">
        <v>1308</v>
      </c>
      <c r="C619" s="12" t="s">
        <v>19</v>
      </c>
      <c r="D619" s="12">
        <v>24</v>
      </c>
      <c r="E619" s="12" t="s">
        <v>80</v>
      </c>
      <c r="F619" s="12" t="s">
        <v>14</v>
      </c>
      <c r="G619" s="12" t="s">
        <v>248</v>
      </c>
      <c r="H619" s="12" t="s">
        <v>77</v>
      </c>
      <c r="I619" s="12">
        <v>0</v>
      </c>
      <c r="J619" s="12">
        <v>133780</v>
      </c>
      <c r="K619" s="12">
        <v>84.36</v>
      </c>
      <c r="L619" s="12">
        <v>6</v>
      </c>
      <c r="M619" s="12">
        <v>45</v>
      </c>
      <c r="N619" s="12">
        <v>45</v>
      </c>
      <c r="O619" s="12" t="s">
        <v>21</v>
      </c>
      <c r="P619" s="12">
        <v>5.63</v>
      </c>
      <c r="Q619" s="12" t="s">
        <v>23</v>
      </c>
    </row>
    <row r="620" spans="1:17" x14ac:dyDescent="0.3">
      <c r="A620" s="12" t="s">
        <v>1309</v>
      </c>
      <c r="B620" s="12" t="s">
        <v>1310</v>
      </c>
      <c r="C620" s="12" t="s">
        <v>18</v>
      </c>
      <c r="D620" s="12">
        <v>50</v>
      </c>
      <c r="E620" s="12" t="s">
        <v>65</v>
      </c>
      <c r="F620" s="12" t="s">
        <v>12</v>
      </c>
      <c r="G620" s="12" t="s">
        <v>119</v>
      </c>
      <c r="H620" s="12" t="s">
        <v>62</v>
      </c>
      <c r="I620" s="12">
        <v>18</v>
      </c>
      <c r="J620" s="12">
        <v>95647</v>
      </c>
      <c r="K620" s="12">
        <v>79.8</v>
      </c>
      <c r="L620" s="12">
        <v>17</v>
      </c>
      <c r="M620" s="12">
        <v>12</v>
      </c>
      <c r="N620" s="12">
        <v>115</v>
      </c>
      <c r="O620" s="12" t="s">
        <v>20</v>
      </c>
      <c r="P620" s="12">
        <v>9.89</v>
      </c>
      <c r="Q620" s="12" t="s">
        <v>24</v>
      </c>
    </row>
    <row r="621" spans="1:17" x14ac:dyDescent="0.3">
      <c r="A621" s="12" t="s">
        <v>1311</v>
      </c>
      <c r="B621" s="12" t="s">
        <v>1312</v>
      </c>
      <c r="C621" s="12" t="s">
        <v>18</v>
      </c>
      <c r="D621" s="12">
        <v>23</v>
      </c>
      <c r="E621" s="12" t="s">
        <v>55</v>
      </c>
      <c r="F621" s="12" t="s">
        <v>17</v>
      </c>
      <c r="G621" s="12" t="s">
        <v>99</v>
      </c>
      <c r="H621" s="12" t="s">
        <v>62</v>
      </c>
      <c r="I621" s="12">
        <v>1</v>
      </c>
      <c r="J621" s="12">
        <v>88831</v>
      </c>
      <c r="K621" s="12">
        <v>76.12</v>
      </c>
      <c r="L621" s="12">
        <v>6</v>
      </c>
      <c r="M621" s="12">
        <v>46</v>
      </c>
      <c r="N621" s="12">
        <v>80</v>
      </c>
      <c r="O621" s="12" t="s">
        <v>21</v>
      </c>
      <c r="P621" s="12">
        <v>5.59</v>
      </c>
      <c r="Q621" s="12" t="s">
        <v>23</v>
      </c>
    </row>
    <row r="622" spans="1:17" x14ac:dyDescent="0.3">
      <c r="A622" s="12" t="s">
        <v>1313</v>
      </c>
      <c r="B622" s="12" t="s">
        <v>1314</v>
      </c>
      <c r="C622" s="12" t="s">
        <v>18</v>
      </c>
      <c r="D622" s="12">
        <v>48</v>
      </c>
      <c r="E622" s="12" t="s">
        <v>60</v>
      </c>
      <c r="F622" s="12" t="s">
        <v>16</v>
      </c>
      <c r="G622" s="12" t="s">
        <v>76</v>
      </c>
      <c r="H622" s="12" t="s">
        <v>57</v>
      </c>
      <c r="I622" s="12">
        <v>23</v>
      </c>
      <c r="J622" s="12">
        <v>76506</v>
      </c>
      <c r="K622" s="12">
        <v>97.96</v>
      </c>
      <c r="L622" s="12">
        <v>4</v>
      </c>
      <c r="M622" s="12">
        <v>21</v>
      </c>
      <c r="N622" s="12">
        <v>59</v>
      </c>
      <c r="O622" s="12" t="s">
        <v>20</v>
      </c>
      <c r="P622" s="12">
        <v>7.53</v>
      </c>
      <c r="Q622" s="12" t="s">
        <v>23</v>
      </c>
    </row>
    <row r="623" spans="1:17" x14ac:dyDescent="0.3">
      <c r="A623" s="12" t="s">
        <v>1315</v>
      </c>
      <c r="B623" s="12" t="s">
        <v>1316</v>
      </c>
      <c r="C623" s="12" t="s">
        <v>18</v>
      </c>
      <c r="D623" s="12">
        <v>22</v>
      </c>
      <c r="E623" s="12" t="s">
        <v>65</v>
      </c>
      <c r="F623" s="12" t="s">
        <v>15</v>
      </c>
      <c r="G623" s="12" t="s">
        <v>130</v>
      </c>
      <c r="H623" s="12" t="s">
        <v>86</v>
      </c>
      <c r="I623" s="12">
        <v>1</v>
      </c>
      <c r="J623" s="12">
        <v>128042</v>
      </c>
      <c r="K623" s="12">
        <v>83.62</v>
      </c>
      <c r="L623" s="12">
        <v>2</v>
      </c>
      <c r="M623" s="12">
        <v>11</v>
      </c>
      <c r="N623" s="12">
        <v>116</v>
      </c>
      <c r="O623" s="12" t="s">
        <v>20</v>
      </c>
      <c r="P623" s="12">
        <v>6.15</v>
      </c>
      <c r="Q623" s="12" t="s">
        <v>23</v>
      </c>
    </row>
    <row r="624" spans="1:17" x14ac:dyDescent="0.3">
      <c r="A624" s="12" t="s">
        <v>1317</v>
      </c>
      <c r="B624" s="12" t="s">
        <v>1318</v>
      </c>
      <c r="C624" s="12" t="s">
        <v>18</v>
      </c>
      <c r="D624" s="12">
        <v>52</v>
      </c>
      <c r="E624" s="12" t="s">
        <v>65</v>
      </c>
      <c r="F624" s="12" t="s">
        <v>14</v>
      </c>
      <c r="G624" s="12" t="s">
        <v>70</v>
      </c>
      <c r="H624" s="12" t="s">
        <v>57</v>
      </c>
      <c r="I624" s="12">
        <v>19</v>
      </c>
      <c r="J624" s="12">
        <v>113813</v>
      </c>
      <c r="K624" s="12">
        <v>90.67</v>
      </c>
      <c r="L624" s="12">
        <v>9</v>
      </c>
      <c r="M624" s="12">
        <v>4</v>
      </c>
      <c r="N624" s="12">
        <v>103</v>
      </c>
      <c r="O624" s="12" t="s">
        <v>21</v>
      </c>
      <c r="P624" s="12">
        <v>8.9600000000000009</v>
      </c>
      <c r="Q624" s="12" t="s">
        <v>24</v>
      </c>
    </row>
    <row r="625" spans="1:17" x14ac:dyDescent="0.3">
      <c r="A625" s="12" t="s">
        <v>1319</v>
      </c>
      <c r="B625" s="12" t="s">
        <v>1320</v>
      </c>
      <c r="C625" s="12" t="s">
        <v>18</v>
      </c>
      <c r="D625" s="12">
        <v>33</v>
      </c>
      <c r="E625" s="12" t="s">
        <v>80</v>
      </c>
      <c r="F625" s="12" t="s">
        <v>13</v>
      </c>
      <c r="G625" s="12" t="s">
        <v>107</v>
      </c>
      <c r="H625" s="12" t="s">
        <v>57</v>
      </c>
      <c r="I625" s="12">
        <v>6</v>
      </c>
      <c r="J625" s="12">
        <v>79454</v>
      </c>
      <c r="K625" s="12">
        <v>99.17</v>
      </c>
      <c r="L625" s="12">
        <v>16</v>
      </c>
      <c r="M625" s="12">
        <v>58</v>
      </c>
      <c r="N625" s="12">
        <v>25</v>
      </c>
      <c r="O625" s="12" t="s">
        <v>20</v>
      </c>
      <c r="P625" s="12">
        <v>8.23</v>
      </c>
      <c r="Q625" s="12" t="s">
        <v>23</v>
      </c>
    </row>
    <row r="626" spans="1:17" x14ac:dyDescent="0.3">
      <c r="A626" s="12" t="s">
        <v>1321</v>
      </c>
      <c r="B626" s="12" t="s">
        <v>1322</v>
      </c>
      <c r="C626" s="12" t="s">
        <v>18</v>
      </c>
      <c r="D626" s="12">
        <v>23</v>
      </c>
      <c r="E626" s="12" t="s">
        <v>91</v>
      </c>
      <c r="F626" s="12" t="s">
        <v>14</v>
      </c>
      <c r="G626" s="12" t="s">
        <v>85</v>
      </c>
      <c r="H626" s="12" t="s">
        <v>62</v>
      </c>
      <c r="I626" s="12">
        <v>2</v>
      </c>
      <c r="J626" s="12">
        <v>93890</v>
      </c>
      <c r="K626" s="12">
        <v>69.13</v>
      </c>
      <c r="L626" s="12">
        <v>11</v>
      </c>
      <c r="M626" s="12">
        <v>33</v>
      </c>
      <c r="N626" s="12">
        <v>57</v>
      </c>
      <c r="O626" s="12" t="s">
        <v>20</v>
      </c>
      <c r="P626" s="12">
        <v>6.92</v>
      </c>
      <c r="Q626" s="12" t="s">
        <v>23</v>
      </c>
    </row>
    <row r="627" spans="1:17" x14ac:dyDescent="0.3">
      <c r="A627" s="12" t="s">
        <v>1323</v>
      </c>
      <c r="B627" s="12" t="s">
        <v>1324</v>
      </c>
      <c r="C627" s="12" t="s">
        <v>18</v>
      </c>
      <c r="D627" s="12">
        <v>29</v>
      </c>
      <c r="E627" s="12" t="s">
        <v>91</v>
      </c>
      <c r="F627" s="12" t="s">
        <v>13</v>
      </c>
      <c r="G627" s="12" t="s">
        <v>56</v>
      </c>
      <c r="H627" s="12" t="s">
        <v>62</v>
      </c>
      <c r="I627" s="12">
        <v>2</v>
      </c>
      <c r="J627" s="12">
        <v>82828</v>
      </c>
      <c r="K627" s="12">
        <v>65.63</v>
      </c>
      <c r="L627" s="12">
        <v>4</v>
      </c>
      <c r="M627" s="12">
        <v>24</v>
      </c>
      <c r="N627" s="12">
        <v>108</v>
      </c>
      <c r="O627" s="12" t="s">
        <v>22</v>
      </c>
      <c r="P627" s="12">
        <v>6.8</v>
      </c>
      <c r="Q627" s="12" t="s">
        <v>23</v>
      </c>
    </row>
    <row r="628" spans="1:17" x14ac:dyDescent="0.3">
      <c r="A628" s="12" t="s">
        <v>1325</v>
      </c>
      <c r="B628" s="12" t="s">
        <v>1326</v>
      </c>
      <c r="C628" s="12" t="s">
        <v>19</v>
      </c>
      <c r="D628" s="12">
        <v>44</v>
      </c>
      <c r="E628" s="12" t="s">
        <v>60</v>
      </c>
      <c r="F628" s="12" t="s">
        <v>17</v>
      </c>
      <c r="G628" s="12" t="s">
        <v>135</v>
      </c>
      <c r="H628" s="12" t="s">
        <v>77</v>
      </c>
      <c r="I628" s="12">
        <v>4</v>
      </c>
      <c r="J628" s="12">
        <v>57404</v>
      </c>
      <c r="K628" s="12">
        <v>71.02</v>
      </c>
      <c r="L628" s="12">
        <v>3</v>
      </c>
      <c r="M628" s="12">
        <v>16</v>
      </c>
      <c r="N628" s="12">
        <v>105</v>
      </c>
      <c r="O628" s="12" t="s">
        <v>21</v>
      </c>
      <c r="P628" s="12">
        <v>6.83</v>
      </c>
      <c r="Q628" s="12" t="s">
        <v>23</v>
      </c>
    </row>
    <row r="629" spans="1:17" x14ac:dyDescent="0.3">
      <c r="A629" s="12" t="s">
        <v>1327</v>
      </c>
      <c r="B629" s="12" t="s">
        <v>1328</v>
      </c>
      <c r="C629" s="12" t="s">
        <v>18</v>
      </c>
      <c r="D629" s="12">
        <v>34</v>
      </c>
      <c r="E629" s="12" t="s">
        <v>55</v>
      </c>
      <c r="F629" s="12" t="s">
        <v>12</v>
      </c>
      <c r="G629" s="12" t="s">
        <v>92</v>
      </c>
      <c r="H629" s="12" t="s">
        <v>77</v>
      </c>
      <c r="I629" s="12">
        <v>8</v>
      </c>
      <c r="J629" s="12">
        <v>107827</v>
      </c>
      <c r="K629" s="12">
        <v>68</v>
      </c>
      <c r="L629" s="12">
        <v>16</v>
      </c>
      <c r="M629" s="12">
        <v>56</v>
      </c>
      <c r="N629" s="12">
        <v>8</v>
      </c>
      <c r="O629" s="12" t="s">
        <v>20</v>
      </c>
      <c r="P629" s="12">
        <v>5.41</v>
      </c>
      <c r="Q629" s="12" t="s">
        <v>23</v>
      </c>
    </row>
    <row r="630" spans="1:17" x14ac:dyDescent="0.3">
      <c r="A630" s="12" t="s">
        <v>1329</v>
      </c>
      <c r="B630" s="12" t="s">
        <v>1330</v>
      </c>
      <c r="C630" s="12" t="s">
        <v>19</v>
      </c>
      <c r="D630" s="12">
        <v>55</v>
      </c>
      <c r="E630" s="12" t="s">
        <v>80</v>
      </c>
      <c r="F630" s="12" t="s">
        <v>17</v>
      </c>
      <c r="G630" s="12" t="s">
        <v>99</v>
      </c>
      <c r="H630" s="12" t="s">
        <v>77</v>
      </c>
      <c r="I630" s="12">
        <v>10</v>
      </c>
      <c r="J630" s="12">
        <v>111753</v>
      </c>
      <c r="K630" s="12">
        <v>79.94</v>
      </c>
      <c r="L630" s="12">
        <v>17</v>
      </c>
      <c r="M630" s="12">
        <v>29</v>
      </c>
      <c r="N630" s="12">
        <v>13</v>
      </c>
      <c r="O630" s="12" t="s">
        <v>22</v>
      </c>
      <c r="P630" s="12">
        <v>6.65</v>
      </c>
      <c r="Q630" s="12" t="s">
        <v>23</v>
      </c>
    </row>
    <row r="631" spans="1:17" x14ac:dyDescent="0.3">
      <c r="A631" s="12" t="s">
        <v>1331</v>
      </c>
      <c r="B631" s="12" t="s">
        <v>1332</v>
      </c>
      <c r="C631" s="12" t="s">
        <v>19</v>
      </c>
      <c r="D631" s="12">
        <v>31</v>
      </c>
      <c r="E631" s="12" t="s">
        <v>60</v>
      </c>
      <c r="F631" s="12" t="s">
        <v>15</v>
      </c>
      <c r="G631" s="12" t="s">
        <v>73</v>
      </c>
      <c r="H631" s="12" t="s">
        <v>77</v>
      </c>
      <c r="I631" s="12">
        <v>0</v>
      </c>
      <c r="J631" s="12">
        <v>122932</v>
      </c>
      <c r="K631" s="12">
        <v>85.22</v>
      </c>
      <c r="L631" s="12">
        <v>12</v>
      </c>
      <c r="M631" s="12">
        <v>14</v>
      </c>
      <c r="N631" s="12">
        <v>83</v>
      </c>
      <c r="O631" s="12" t="s">
        <v>21</v>
      </c>
      <c r="P631" s="12">
        <v>7.6</v>
      </c>
      <c r="Q631" s="12" t="s">
        <v>23</v>
      </c>
    </row>
    <row r="632" spans="1:17" x14ac:dyDescent="0.3">
      <c r="A632" s="12" t="s">
        <v>1333</v>
      </c>
      <c r="B632" s="12" t="s">
        <v>1334</v>
      </c>
      <c r="C632" s="12" t="s">
        <v>18</v>
      </c>
      <c r="D632" s="12">
        <v>36</v>
      </c>
      <c r="E632" s="12" t="s">
        <v>69</v>
      </c>
      <c r="F632" s="12" t="s">
        <v>13</v>
      </c>
      <c r="G632" s="12" t="s">
        <v>66</v>
      </c>
      <c r="H632" s="12" t="s">
        <v>62</v>
      </c>
      <c r="I632" s="12">
        <v>6</v>
      </c>
      <c r="J632" s="12">
        <v>60721</v>
      </c>
      <c r="K632" s="12">
        <v>73.56</v>
      </c>
      <c r="L632" s="12">
        <v>16</v>
      </c>
      <c r="M632" s="12">
        <v>53</v>
      </c>
      <c r="N632" s="12">
        <v>47</v>
      </c>
      <c r="O632" s="12" t="s">
        <v>21</v>
      </c>
      <c r="P632" s="12">
        <v>6.25</v>
      </c>
      <c r="Q632" s="12" t="s">
        <v>23</v>
      </c>
    </row>
    <row r="633" spans="1:17" x14ac:dyDescent="0.3">
      <c r="A633" s="12" t="s">
        <v>1335</v>
      </c>
      <c r="B633" s="12" t="s">
        <v>1336</v>
      </c>
      <c r="C633" s="12" t="s">
        <v>19</v>
      </c>
      <c r="D633" s="12">
        <v>45</v>
      </c>
      <c r="E633" s="12" t="s">
        <v>91</v>
      </c>
      <c r="F633" s="12" t="s">
        <v>17</v>
      </c>
      <c r="G633" s="12" t="s">
        <v>102</v>
      </c>
      <c r="H633" s="12" t="s">
        <v>77</v>
      </c>
      <c r="I633" s="12">
        <v>2</v>
      </c>
      <c r="J633" s="12">
        <v>51852</v>
      </c>
      <c r="K633" s="12">
        <v>78.17</v>
      </c>
      <c r="L633" s="12">
        <v>16</v>
      </c>
      <c r="M633" s="12">
        <v>55</v>
      </c>
      <c r="N633" s="12">
        <v>110</v>
      </c>
      <c r="O633" s="12" t="s">
        <v>21</v>
      </c>
      <c r="P633" s="12">
        <v>8.0500000000000007</v>
      </c>
      <c r="Q633" s="12" t="s">
        <v>23</v>
      </c>
    </row>
    <row r="634" spans="1:17" x14ac:dyDescent="0.3">
      <c r="A634" s="12" t="s">
        <v>1337</v>
      </c>
      <c r="B634" s="12" t="s">
        <v>1338</v>
      </c>
      <c r="C634" s="12" t="s">
        <v>19</v>
      </c>
      <c r="D634" s="12">
        <v>39</v>
      </c>
      <c r="E634" s="12" t="s">
        <v>69</v>
      </c>
      <c r="F634" s="12" t="s">
        <v>14</v>
      </c>
      <c r="G634" s="12" t="s">
        <v>248</v>
      </c>
      <c r="H634" s="12" t="s">
        <v>62</v>
      </c>
      <c r="I634" s="12">
        <v>8</v>
      </c>
      <c r="J634" s="12">
        <v>150376</v>
      </c>
      <c r="K634" s="12">
        <v>71.680000000000007</v>
      </c>
      <c r="L634" s="12">
        <v>19</v>
      </c>
      <c r="M634" s="12">
        <v>52</v>
      </c>
      <c r="N634" s="12">
        <v>56</v>
      </c>
      <c r="O634" s="12" t="s">
        <v>22</v>
      </c>
      <c r="P634" s="12">
        <v>7.05</v>
      </c>
      <c r="Q634" s="12" t="s">
        <v>23</v>
      </c>
    </row>
    <row r="635" spans="1:17" x14ac:dyDescent="0.3">
      <c r="A635" s="12" t="s">
        <v>1339</v>
      </c>
      <c r="B635" s="12" t="s">
        <v>1340</v>
      </c>
      <c r="C635" s="12" t="s">
        <v>19</v>
      </c>
      <c r="D635" s="12">
        <v>28</v>
      </c>
      <c r="E635" s="12" t="s">
        <v>69</v>
      </c>
      <c r="F635" s="12" t="s">
        <v>13</v>
      </c>
      <c r="G635" s="12" t="s">
        <v>107</v>
      </c>
      <c r="H635" s="12" t="s">
        <v>86</v>
      </c>
      <c r="I635" s="12">
        <v>2</v>
      </c>
      <c r="J635" s="12">
        <v>68670</v>
      </c>
      <c r="K635" s="12">
        <v>80.180000000000007</v>
      </c>
      <c r="L635" s="12">
        <v>5</v>
      </c>
      <c r="M635" s="12">
        <v>44</v>
      </c>
      <c r="N635" s="12">
        <v>45</v>
      </c>
      <c r="O635" s="12" t="s">
        <v>20</v>
      </c>
      <c r="P635" s="12">
        <v>4.5599999999999996</v>
      </c>
      <c r="Q635" s="12" t="s">
        <v>23</v>
      </c>
    </row>
    <row r="636" spans="1:17" x14ac:dyDescent="0.3">
      <c r="A636" s="12" t="s">
        <v>1341</v>
      </c>
      <c r="B636" s="12" t="s">
        <v>1342</v>
      </c>
      <c r="C636" s="12" t="s">
        <v>18</v>
      </c>
      <c r="D636" s="12">
        <v>23</v>
      </c>
      <c r="E636" s="12" t="s">
        <v>60</v>
      </c>
      <c r="F636" s="12" t="s">
        <v>15</v>
      </c>
      <c r="G636" s="12" t="s">
        <v>61</v>
      </c>
      <c r="H636" s="12" t="s">
        <v>86</v>
      </c>
      <c r="I636" s="12">
        <v>1</v>
      </c>
      <c r="J636" s="12">
        <v>122006</v>
      </c>
      <c r="K636" s="12">
        <v>95.14</v>
      </c>
      <c r="L636" s="12">
        <v>7</v>
      </c>
      <c r="M636" s="12">
        <v>42</v>
      </c>
      <c r="N636" s="12">
        <v>118</v>
      </c>
      <c r="O636" s="12" t="s">
        <v>21</v>
      </c>
      <c r="P636" s="12">
        <v>8.26</v>
      </c>
      <c r="Q636" s="12" t="s">
        <v>23</v>
      </c>
    </row>
    <row r="637" spans="1:17" x14ac:dyDescent="0.3">
      <c r="A637" s="12" t="s">
        <v>1343</v>
      </c>
      <c r="B637" s="12" t="s">
        <v>1344</v>
      </c>
      <c r="C637" s="12" t="s">
        <v>19</v>
      </c>
      <c r="D637" s="12">
        <v>44</v>
      </c>
      <c r="E637" s="12" t="s">
        <v>55</v>
      </c>
      <c r="F637" s="12" t="s">
        <v>14</v>
      </c>
      <c r="G637" s="12" t="s">
        <v>70</v>
      </c>
      <c r="H637" s="12" t="s">
        <v>77</v>
      </c>
      <c r="I637" s="12">
        <v>2</v>
      </c>
      <c r="J637" s="12">
        <v>148858</v>
      </c>
      <c r="K637" s="12">
        <v>67.92</v>
      </c>
      <c r="L637" s="12">
        <v>11</v>
      </c>
      <c r="M637" s="12">
        <v>8</v>
      </c>
      <c r="N637" s="12">
        <v>44</v>
      </c>
      <c r="O637" s="12" t="s">
        <v>21</v>
      </c>
      <c r="P637" s="12">
        <v>6.18</v>
      </c>
      <c r="Q637" s="12" t="s">
        <v>23</v>
      </c>
    </row>
    <row r="638" spans="1:17" x14ac:dyDescent="0.3">
      <c r="A638" s="12" t="s">
        <v>1345</v>
      </c>
      <c r="B638" s="12" t="s">
        <v>1346</v>
      </c>
      <c r="C638" s="12" t="s">
        <v>19</v>
      </c>
      <c r="D638" s="12">
        <v>37</v>
      </c>
      <c r="E638" s="12" t="s">
        <v>80</v>
      </c>
      <c r="F638" s="12" t="s">
        <v>17</v>
      </c>
      <c r="G638" s="12" t="s">
        <v>99</v>
      </c>
      <c r="H638" s="12" t="s">
        <v>86</v>
      </c>
      <c r="I638" s="12">
        <v>10</v>
      </c>
      <c r="J638" s="12">
        <v>91003</v>
      </c>
      <c r="K638" s="12">
        <v>96.31</v>
      </c>
      <c r="L638" s="12">
        <v>8</v>
      </c>
      <c r="M638" s="12">
        <v>57</v>
      </c>
      <c r="N638" s="12">
        <v>45</v>
      </c>
      <c r="O638" s="12" t="s">
        <v>20</v>
      </c>
      <c r="P638" s="12">
        <v>7.74</v>
      </c>
      <c r="Q638" s="12" t="s">
        <v>23</v>
      </c>
    </row>
    <row r="639" spans="1:17" x14ac:dyDescent="0.3">
      <c r="A639" s="12" t="s">
        <v>1347</v>
      </c>
      <c r="B639" s="12" t="s">
        <v>1348</v>
      </c>
      <c r="C639" s="12" t="s">
        <v>19</v>
      </c>
      <c r="D639" s="12">
        <v>49</v>
      </c>
      <c r="E639" s="12" t="s">
        <v>55</v>
      </c>
      <c r="F639" s="12" t="s">
        <v>15</v>
      </c>
      <c r="G639" s="12" t="s">
        <v>61</v>
      </c>
      <c r="H639" s="12" t="s">
        <v>62</v>
      </c>
      <c r="I639" s="12">
        <v>11</v>
      </c>
      <c r="J639" s="12">
        <v>48716</v>
      </c>
      <c r="K639" s="12">
        <v>96.87</v>
      </c>
      <c r="L639" s="12">
        <v>19</v>
      </c>
      <c r="M639" s="12">
        <v>4</v>
      </c>
      <c r="N639" s="12">
        <v>5</v>
      </c>
      <c r="O639" s="12" t="s">
        <v>20</v>
      </c>
      <c r="P639" s="12">
        <v>8.09</v>
      </c>
      <c r="Q639" s="12" t="s">
        <v>23</v>
      </c>
    </row>
    <row r="640" spans="1:17" x14ac:dyDescent="0.3">
      <c r="A640" s="12" t="s">
        <v>1349</v>
      </c>
      <c r="B640" s="12" t="s">
        <v>1350</v>
      </c>
      <c r="C640" s="12" t="s">
        <v>19</v>
      </c>
      <c r="D640" s="12">
        <v>25</v>
      </c>
      <c r="E640" s="12" t="s">
        <v>80</v>
      </c>
      <c r="F640" s="12" t="s">
        <v>12</v>
      </c>
      <c r="G640" s="12" t="s">
        <v>92</v>
      </c>
      <c r="H640" s="12" t="s">
        <v>77</v>
      </c>
      <c r="I640" s="12">
        <v>1</v>
      </c>
      <c r="J640" s="12">
        <v>102425</v>
      </c>
      <c r="K640" s="12">
        <v>98.68</v>
      </c>
      <c r="L640" s="12">
        <v>1</v>
      </c>
      <c r="M640" s="12">
        <v>26</v>
      </c>
      <c r="N640" s="12">
        <v>18</v>
      </c>
      <c r="O640" s="12" t="s">
        <v>22</v>
      </c>
      <c r="P640" s="12">
        <v>6.07</v>
      </c>
      <c r="Q640" s="12" t="s">
        <v>23</v>
      </c>
    </row>
    <row r="641" spans="1:17" x14ac:dyDescent="0.3">
      <c r="A641" s="12" t="s">
        <v>1351</v>
      </c>
      <c r="B641" s="12" t="s">
        <v>1352</v>
      </c>
      <c r="C641" s="12" t="s">
        <v>18</v>
      </c>
      <c r="D641" s="12">
        <v>29</v>
      </c>
      <c r="E641" s="12" t="s">
        <v>55</v>
      </c>
      <c r="F641" s="12" t="s">
        <v>13</v>
      </c>
      <c r="G641" s="12" t="s">
        <v>56</v>
      </c>
      <c r="H641" s="12" t="s">
        <v>86</v>
      </c>
      <c r="I641" s="12">
        <v>3</v>
      </c>
      <c r="J641" s="12">
        <v>81208</v>
      </c>
      <c r="K641" s="12">
        <v>78.69</v>
      </c>
      <c r="L641" s="12">
        <v>19</v>
      </c>
      <c r="M641" s="12">
        <v>54</v>
      </c>
      <c r="N641" s="12">
        <v>100</v>
      </c>
      <c r="O641" s="12" t="s">
        <v>21</v>
      </c>
      <c r="P641" s="12">
        <v>9.16</v>
      </c>
      <c r="Q641" s="12" t="s">
        <v>24</v>
      </c>
    </row>
    <row r="642" spans="1:17" x14ac:dyDescent="0.3">
      <c r="A642" s="12" t="s">
        <v>1353</v>
      </c>
      <c r="B642" s="12" t="s">
        <v>1354</v>
      </c>
      <c r="C642" s="12" t="s">
        <v>19</v>
      </c>
      <c r="D642" s="12">
        <v>47</v>
      </c>
      <c r="E642" s="12" t="s">
        <v>91</v>
      </c>
      <c r="F642" s="12" t="s">
        <v>16</v>
      </c>
      <c r="G642" s="12" t="s">
        <v>271</v>
      </c>
      <c r="H642" s="12" t="s">
        <v>57</v>
      </c>
      <c r="I642" s="12">
        <v>20</v>
      </c>
      <c r="J642" s="12">
        <v>71336</v>
      </c>
      <c r="K642" s="12">
        <v>82.38</v>
      </c>
      <c r="L642" s="12">
        <v>19</v>
      </c>
      <c r="M642" s="12">
        <v>1</v>
      </c>
      <c r="N642" s="12">
        <v>70</v>
      </c>
      <c r="O642" s="12" t="s">
        <v>20</v>
      </c>
      <c r="P642" s="12">
        <v>10</v>
      </c>
      <c r="Q642" s="12" t="s">
        <v>24</v>
      </c>
    </row>
    <row r="643" spans="1:17" x14ac:dyDescent="0.3">
      <c r="A643" s="12" t="s">
        <v>1355</v>
      </c>
      <c r="B643" s="12" t="s">
        <v>1356</v>
      </c>
      <c r="C643" s="12" t="s">
        <v>18</v>
      </c>
      <c r="D643" s="12">
        <v>58</v>
      </c>
      <c r="E643" s="12" t="s">
        <v>80</v>
      </c>
      <c r="F643" s="12" t="s">
        <v>14</v>
      </c>
      <c r="G643" s="12" t="s">
        <v>70</v>
      </c>
      <c r="H643" s="12" t="s">
        <v>77</v>
      </c>
      <c r="I643" s="12">
        <v>4</v>
      </c>
      <c r="J643" s="12">
        <v>162081</v>
      </c>
      <c r="K643" s="12">
        <v>92.95</v>
      </c>
      <c r="L643" s="12">
        <v>14</v>
      </c>
      <c r="M643" s="12">
        <v>16</v>
      </c>
      <c r="N643" s="12">
        <v>41</v>
      </c>
      <c r="O643" s="12" t="s">
        <v>21</v>
      </c>
      <c r="P643" s="12">
        <v>8.0399999999999991</v>
      </c>
      <c r="Q643" s="12" t="s">
        <v>23</v>
      </c>
    </row>
    <row r="644" spans="1:17" x14ac:dyDescent="0.3">
      <c r="A644" s="12" t="s">
        <v>1357</v>
      </c>
      <c r="B644" s="12" t="s">
        <v>1358</v>
      </c>
      <c r="C644" s="12" t="s">
        <v>19</v>
      </c>
      <c r="D644" s="12">
        <v>41</v>
      </c>
      <c r="E644" s="12" t="s">
        <v>80</v>
      </c>
      <c r="F644" s="12" t="s">
        <v>17</v>
      </c>
      <c r="G644" s="12" t="s">
        <v>99</v>
      </c>
      <c r="H644" s="12" t="s">
        <v>57</v>
      </c>
      <c r="I644" s="12">
        <v>7</v>
      </c>
      <c r="J644" s="12">
        <v>80168</v>
      </c>
      <c r="K644" s="12">
        <v>99.17</v>
      </c>
      <c r="L644" s="12">
        <v>15</v>
      </c>
      <c r="M644" s="12">
        <v>22</v>
      </c>
      <c r="N644" s="12">
        <v>65</v>
      </c>
      <c r="O644" s="12" t="s">
        <v>22</v>
      </c>
      <c r="P644" s="12">
        <v>9.3000000000000007</v>
      </c>
      <c r="Q644" s="12" t="s">
        <v>24</v>
      </c>
    </row>
    <row r="645" spans="1:17" x14ac:dyDescent="0.3">
      <c r="A645" s="12" t="s">
        <v>1359</v>
      </c>
      <c r="B645" s="12" t="s">
        <v>1360</v>
      </c>
      <c r="C645" s="12" t="s">
        <v>19</v>
      </c>
      <c r="D645" s="12">
        <v>32</v>
      </c>
      <c r="E645" s="12" t="s">
        <v>65</v>
      </c>
      <c r="F645" s="12" t="s">
        <v>15</v>
      </c>
      <c r="G645" s="12" t="s">
        <v>73</v>
      </c>
      <c r="H645" s="12" t="s">
        <v>57</v>
      </c>
      <c r="I645" s="12">
        <v>1</v>
      </c>
      <c r="J645" s="12">
        <v>58903</v>
      </c>
      <c r="K645" s="12">
        <v>67.19</v>
      </c>
      <c r="L645" s="12">
        <v>14</v>
      </c>
      <c r="M645" s="12">
        <v>27</v>
      </c>
      <c r="N645" s="12">
        <v>75</v>
      </c>
      <c r="O645" s="12" t="s">
        <v>22</v>
      </c>
      <c r="P645" s="12">
        <v>7.25</v>
      </c>
      <c r="Q645" s="12" t="s">
        <v>23</v>
      </c>
    </row>
    <row r="646" spans="1:17" x14ac:dyDescent="0.3">
      <c r="A646" s="12" t="s">
        <v>1361</v>
      </c>
      <c r="B646" s="12" t="s">
        <v>1362</v>
      </c>
      <c r="C646" s="12" t="s">
        <v>18</v>
      </c>
      <c r="D646" s="12">
        <v>58</v>
      </c>
      <c r="E646" s="12" t="s">
        <v>60</v>
      </c>
      <c r="F646" s="12" t="s">
        <v>13</v>
      </c>
      <c r="G646" s="12" t="s">
        <v>56</v>
      </c>
      <c r="H646" s="12" t="s">
        <v>62</v>
      </c>
      <c r="I646" s="12">
        <v>25</v>
      </c>
      <c r="J646" s="12">
        <v>51550</v>
      </c>
      <c r="K646" s="12">
        <v>69.28</v>
      </c>
      <c r="L646" s="12">
        <v>19</v>
      </c>
      <c r="M646" s="12">
        <v>0</v>
      </c>
      <c r="N646" s="12">
        <v>89</v>
      </c>
      <c r="O646" s="12" t="s">
        <v>21</v>
      </c>
      <c r="P646" s="12">
        <v>10</v>
      </c>
      <c r="Q646" s="12" t="s">
        <v>24</v>
      </c>
    </row>
    <row r="647" spans="1:17" x14ac:dyDescent="0.3">
      <c r="A647" s="12" t="s">
        <v>1363</v>
      </c>
      <c r="B647" s="12" t="s">
        <v>1364</v>
      </c>
      <c r="C647" s="12" t="s">
        <v>18</v>
      </c>
      <c r="D647" s="12">
        <v>47</v>
      </c>
      <c r="E647" s="12" t="s">
        <v>80</v>
      </c>
      <c r="F647" s="12" t="s">
        <v>13</v>
      </c>
      <c r="G647" s="12" t="s">
        <v>56</v>
      </c>
      <c r="H647" s="12" t="s">
        <v>62</v>
      </c>
      <c r="I647" s="12">
        <v>14</v>
      </c>
      <c r="J647" s="12">
        <v>56208</v>
      </c>
      <c r="K647" s="12">
        <v>97.18</v>
      </c>
      <c r="L647" s="12">
        <v>13</v>
      </c>
      <c r="M647" s="12">
        <v>33</v>
      </c>
      <c r="N647" s="12">
        <v>106</v>
      </c>
      <c r="O647" s="12" t="s">
        <v>20</v>
      </c>
      <c r="P647" s="12">
        <v>10</v>
      </c>
      <c r="Q647" s="12" t="s">
        <v>24</v>
      </c>
    </row>
    <row r="648" spans="1:17" x14ac:dyDescent="0.3">
      <c r="A648" s="12" t="s">
        <v>1365</v>
      </c>
      <c r="B648" s="12" t="s">
        <v>1366</v>
      </c>
      <c r="C648" s="12" t="s">
        <v>19</v>
      </c>
      <c r="D648" s="12">
        <v>50</v>
      </c>
      <c r="E648" s="12" t="s">
        <v>91</v>
      </c>
      <c r="F648" s="12" t="s">
        <v>12</v>
      </c>
      <c r="G648" s="12" t="s">
        <v>119</v>
      </c>
      <c r="H648" s="12" t="s">
        <v>77</v>
      </c>
      <c r="I648" s="12">
        <v>24</v>
      </c>
      <c r="J648" s="12">
        <v>58216</v>
      </c>
      <c r="K648" s="12">
        <v>72.98</v>
      </c>
      <c r="L648" s="12">
        <v>17</v>
      </c>
      <c r="M648" s="12">
        <v>40</v>
      </c>
      <c r="N648" s="12">
        <v>80</v>
      </c>
      <c r="O648" s="12" t="s">
        <v>20</v>
      </c>
      <c r="P648" s="12">
        <v>9.61</v>
      </c>
      <c r="Q648" s="12" t="s">
        <v>24</v>
      </c>
    </row>
    <row r="649" spans="1:17" x14ac:dyDescent="0.3">
      <c r="A649" s="12" t="s">
        <v>1367</v>
      </c>
      <c r="B649" s="12" t="s">
        <v>1368</v>
      </c>
      <c r="C649" s="12" t="s">
        <v>19</v>
      </c>
      <c r="D649" s="12">
        <v>45</v>
      </c>
      <c r="E649" s="12" t="s">
        <v>69</v>
      </c>
      <c r="F649" s="12" t="s">
        <v>12</v>
      </c>
      <c r="G649" s="12" t="s">
        <v>92</v>
      </c>
      <c r="H649" s="12" t="s">
        <v>62</v>
      </c>
      <c r="I649" s="12">
        <v>3</v>
      </c>
      <c r="J649" s="12">
        <v>157576</v>
      </c>
      <c r="K649" s="12">
        <v>69.56</v>
      </c>
      <c r="L649" s="12">
        <v>7</v>
      </c>
      <c r="M649" s="12">
        <v>50</v>
      </c>
      <c r="N649" s="12">
        <v>41</v>
      </c>
      <c r="O649" s="12" t="s">
        <v>22</v>
      </c>
      <c r="P649" s="12">
        <v>4.84</v>
      </c>
      <c r="Q649" s="12" t="s">
        <v>23</v>
      </c>
    </row>
    <row r="650" spans="1:17" x14ac:dyDescent="0.3">
      <c r="A650" s="12" t="s">
        <v>1369</v>
      </c>
      <c r="B650" s="12" t="s">
        <v>1370</v>
      </c>
      <c r="C650" s="12" t="s">
        <v>18</v>
      </c>
      <c r="D650" s="12">
        <v>54</v>
      </c>
      <c r="E650" s="12" t="s">
        <v>69</v>
      </c>
      <c r="F650" s="12" t="s">
        <v>17</v>
      </c>
      <c r="G650" s="12" t="s">
        <v>99</v>
      </c>
      <c r="H650" s="12" t="s">
        <v>62</v>
      </c>
      <c r="I650" s="12">
        <v>13</v>
      </c>
      <c r="J650" s="12">
        <v>84062</v>
      </c>
      <c r="K650" s="12">
        <v>80.56</v>
      </c>
      <c r="L650" s="12">
        <v>10</v>
      </c>
      <c r="M650" s="12">
        <v>56</v>
      </c>
      <c r="N650" s="12">
        <v>40</v>
      </c>
      <c r="O650" s="12" t="s">
        <v>20</v>
      </c>
      <c r="P650" s="12">
        <v>5.97</v>
      </c>
      <c r="Q650" s="12" t="s">
        <v>23</v>
      </c>
    </row>
    <row r="651" spans="1:17" x14ac:dyDescent="0.3">
      <c r="A651" s="12" t="s">
        <v>1371</v>
      </c>
      <c r="B651" s="12" t="s">
        <v>1372</v>
      </c>
      <c r="C651" s="12" t="s">
        <v>18</v>
      </c>
      <c r="D651" s="12">
        <v>29</v>
      </c>
      <c r="E651" s="12" t="s">
        <v>65</v>
      </c>
      <c r="F651" s="12" t="s">
        <v>13</v>
      </c>
      <c r="G651" s="12" t="s">
        <v>66</v>
      </c>
      <c r="H651" s="12" t="s">
        <v>57</v>
      </c>
      <c r="I651" s="12">
        <v>6</v>
      </c>
      <c r="J651" s="12">
        <v>88888</v>
      </c>
      <c r="K651" s="12">
        <v>71.31</v>
      </c>
      <c r="L651" s="12">
        <v>15</v>
      </c>
      <c r="M651" s="12">
        <v>0</v>
      </c>
      <c r="N651" s="12">
        <v>29</v>
      </c>
      <c r="O651" s="12" t="s">
        <v>21</v>
      </c>
      <c r="P651" s="12">
        <v>7.84</v>
      </c>
      <c r="Q651" s="12" t="s">
        <v>23</v>
      </c>
    </row>
    <row r="652" spans="1:17" x14ac:dyDescent="0.3">
      <c r="A652" s="12" t="s">
        <v>1373</v>
      </c>
      <c r="B652" s="12" t="s">
        <v>1374</v>
      </c>
      <c r="C652" s="12" t="s">
        <v>19</v>
      </c>
      <c r="D652" s="12">
        <v>23</v>
      </c>
      <c r="E652" s="12" t="s">
        <v>60</v>
      </c>
      <c r="F652" s="12" t="s">
        <v>17</v>
      </c>
      <c r="G652" s="12" t="s">
        <v>99</v>
      </c>
      <c r="H652" s="12" t="s">
        <v>57</v>
      </c>
      <c r="I652" s="12">
        <v>1</v>
      </c>
      <c r="J652" s="12">
        <v>109861</v>
      </c>
      <c r="K652" s="12">
        <v>96.55</v>
      </c>
      <c r="L652" s="12">
        <v>15</v>
      </c>
      <c r="M652" s="12">
        <v>22</v>
      </c>
      <c r="N652" s="12">
        <v>9</v>
      </c>
      <c r="O652" s="12" t="s">
        <v>22</v>
      </c>
      <c r="P652" s="12">
        <v>7.9</v>
      </c>
      <c r="Q652" s="12" t="s">
        <v>23</v>
      </c>
    </row>
    <row r="653" spans="1:17" x14ac:dyDescent="0.3">
      <c r="A653" s="12" t="s">
        <v>1375</v>
      </c>
      <c r="B653" s="12" t="s">
        <v>10</v>
      </c>
      <c r="C653" s="12" t="s">
        <v>18</v>
      </c>
      <c r="D653" s="12">
        <v>25</v>
      </c>
      <c r="E653" s="12" t="s">
        <v>60</v>
      </c>
      <c r="F653" s="12" t="s">
        <v>14</v>
      </c>
      <c r="G653" s="12" t="s">
        <v>248</v>
      </c>
      <c r="H653" s="12" t="s">
        <v>62</v>
      </c>
      <c r="I653" s="12">
        <v>4</v>
      </c>
      <c r="J653" s="12">
        <v>72434</v>
      </c>
      <c r="K653" s="12">
        <v>83.22</v>
      </c>
      <c r="L653" s="12">
        <v>16</v>
      </c>
      <c r="M653" s="12">
        <v>5</v>
      </c>
      <c r="N653" s="12">
        <v>37</v>
      </c>
      <c r="O653" s="12" t="s">
        <v>21</v>
      </c>
      <c r="P653" s="12">
        <v>7.1</v>
      </c>
      <c r="Q653" s="12" t="s">
        <v>23</v>
      </c>
    </row>
    <row r="654" spans="1:17" x14ac:dyDescent="0.3">
      <c r="A654" s="12" t="s">
        <v>1376</v>
      </c>
      <c r="B654" s="12" t="s">
        <v>1377</v>
      </c>
      <c r="C654" s="12" t="s">
        <v>18</v>
      </c>
      <c r="D654" s="12">
        <v>53</v>
      </c>
      <c r="E654" s="12" t="s">
        <v>69</v>
      </c>
      <c r="F654" s="12" t="s">
        <v>16</v>
      </c>
      <c r="G654" s="12" t="s">
        <v>181</v>
      </c>
      <c r="H654" s="12" t="s">
        <v>77</v>
      </c>
      <c r="I654" s="12">
        <v>3</v>
      </c>
      <c r="J654" s="12">
        <v>110613</v>
      </c>
      <c r="K654" s="12">
        <v>78.17</v>
      </c>
      <c r="L654" s="12">
        <v>4</v>
      </c>
      <c r="M654" s="12">
        <v>51</v>
      </c>
      <c r="N654" s="12">
        <v>55</v>
      </c>
      <c r="O654" s="12" t="s">
        <v>20</v>
      </c>
      <c r="P654" s="12">
        <v>5.5</v>
      </c>
      <c r="Q654" s="12" t="s">
        <v>23</v>
      </c>
    </row>
    <row r="655" spans="1:17" x14ac:dyDescent="0.3">
      <c r="A655" s="12" t="s">
        <v>1378</v>
      </c>
      <c r="B655" s="12" t="s">
        <v>1379</v>
      </c>
      <c r="C655" s="12" t="s">
        <v>19</v>
      </c>
      <c r="D655" s="12">
        <v>22</v>
      </c>
      <c r="E655" s="12" t="s">
        <v>65</v>
      </c>
      <c r="F655" s="12" t="s">
        <v>12</v>
      </c>
      <c r="G655" s="12" t="s">
        <v>92</v>
      </c>
      <c r="H655" s="12" t="s">
        <v>57</v>
      </c>
      <c r="I655" s="12">
        <v>1</v>
      </c>
      <c r="J655" s="12">
        <v>103561</v>
      </c>
      <c r="K655" s="12">
        <v>65.92</v>
      </c>
      <c r="L655" s="12">
        <v>6</v>
      </c>
      <c r="M655" s="12">
        <v>19</v>
      </c>
      <c r="N655" s="12">
        <v>34</v>
      </c>
      <c r="O655" s="12" t="s">
        <v>21</v>
      </c>
      <c r="P655" s="12">
        <v>5.49</v>
      </c>
      <c r="Q655" s="12" t="s">
        <v>23</v>
      </c>
    </row>
    <row r="656" spans="1:17" x14ac:dyDescent="0.3">
      <c r="A656" s="12" t="s">
        <v>1380</v>
      </c>
      <c r="B656" s="12" t="s">
        <v>1381</v>
      </c>
      <c r="C656" s="12" t="s">
        <v>19</v>
      </c>
      <c r="D656" s="12">
        <v>57</v>
      </c>
      <c r="E656" s="12" t="s">
        <v>69</v>
      </c>
      <c r="F656" s="12" t="s">
        <v>15</v>
      </c>
      <c r="G656" s="12" t="s">
        <v>73</v>
      </c>
      <c r="H656" s="12" t="s">
        <v>57</v>
      </c>
      <c r="I656" s="12">
        <v>4</v>
      </c>
      <c r="J656" s="12">
        <v>93539</v>
      </c>
      <c r="K656" s="12">
        <v>88.68</v>
      </c>
      <c r="L656" s="12">
        <v>15</v>
      </c>
      <c r="M656" s="12">
        <v>6</v>
      </c>
      <c r="N656" s="12">
        <v>15</v>
      </c>
      <c r="O656" s="12" t="s">
        <v>21</v>
      </c>
      <c r="P656" s="12">
        <v>6.32</v>
      </c>
      <c r="Q656" s="12" t="s">
        <v>23</v>
      </c>
    </row>
    <row r="657" spans="1:17" x14ac:dyDescent="0.3">
      <c r="A657" s="12" t="s">
        <v>1382</v>
      </c>
      <c r="B657" s="12" t="s">
        <v>1383</v>
      </c>
      <c r="C657" s="12" t="s">
        <v>19</v>
      </c>
      <c r="D657" s="12">
        <v>48</v>
      </c>
      <c r="E657" s="12" t="s">
        <v>80</v>
      </c>
      <c r="F657" s="12" t="s">
        <v>12</v>
      </c>
      <c r="G657" s="12" t="s">
        <v>92</v>
      </c>
      <c r="H657" s="12" t="s">
        <v>62</v>
      </c>
      <c r="I657" s="12">
        <v>22</v>
      </c>
      <c r="J657" s="12">
        <v>93767</v>
      </c>
      <c r="K657" s="12">
        <v>66.08</v>
      </c>
      <c r="L657" s="12">
        <v>18</v>
      </c>
      <c r="M657" s="12">
        <v>21</v>
      </c>
      <c r="N657" s="12">
        <v>5</v>
      </c>
      <c r="O657" s="12" t="s">
        <v>20</v>
      </c>
      <c r="P657" s="12">
        <v>7.74</v>
      </c>
      <c r="Q657" s="12" t="s">
        <v>23</v>
      </c>
    </row>
    <row r="658" spans="1:17" x14ac:dyDescent="0.3">
      <c r="A658" s="12" t="s">
        <v>1384</v>
      </c>
      <c r="B658" s="12" t="s">
        <v>1385</v>
      </c>
      <c r="C658" s="12" t="s">
        <v>18</v>
      </c>
      <c r="D658" s="12">
        <v>42</v>
      </c>
      <c r="E658" s="12" t="s">
        <v>60</v>
      </c>
      <c r="F658" s="12" t="s">
        <v>13</v>
      </c>
      <c r="G658" s="12" t="s">
        <v>56</v>
      </c>
      <c r="H658" s="12" t="s">
        <v>77</v>
      </c>
      <c r="I658" s="12">
        <v>6</v>
      </c>
      <c r="J658" s="12">
        <v>74959</v>
      </c>
      <c r="K658" s="12">
        <v>65.5</v>
      </c>
      <c r="L658" s="12">
        <v>10</v>
      </c>
      <c r="M658" s="12">
        <v>55</v>
      </c>
      <c r="N658" s="12">
        <v>24</v>
      </c>
      <c r="O658" s="12" t="s">
        <v>21</v>
      </c>
      <c r="P658" s="12">
        <v>5.25</v>
      </c>
      <c r="Q658" s="12" t="s">
        <v>23</v>
      </c>
    </row>
    <row r="659" spans="1:17" x14ac:dyDescent="0.3">
      <c r="A659" s="12" t="s">
        <v>1386</v>
      </c>
      <c r="B659" s="12" t="s">
        <v>1387</v>
      </c>
      <c r="C659" s="12" t="s">
        <v>19</v>
      </c>
      <c r="D659" s="12">
        <v>41</v>
      </c>
      <c r="E659" s="12" t="s">
        <v>55</v>
      </c>
      <c r="F659" s="12" t="s">
        <v>12</v>
      </c>
      <c r="G659" s="12" t="s">
        <v>92</v>
      </c>
      <c r="H659" s="12" t="s">
        <v>62</v>
      </c>
      <c r="I659" s="12">
        <v>8</v>
      </c>
      <c r="J659" s="12">
        <v>159095</v>
      </c>
      <c r="K659" s="12">
        <v>77.349999999999994</v>
      </c>
      <c r="L659" s="12">
        <v>3</v>
      </c>
      <c r="M659" s="12">
        <v>44</v>
      </c>
      <c r="N659" s="12">
        <v>21</v>
      </c>
      <c r="O659" s="12" t="s">
        <v>20</v>
      </c>
      <c r="P659" s="12">
        <v>4.8099999999999996</v>
      </c>
      <c r="Q659" s="12" t="s">
        <v>23</v>
      </c>
    </row>
    <row r="660" spans="1:17" x14ac:dyDescent="0.3">
      <c r="A660" s="12" t="s">
        <v>1388</v>
      </c>
      <c r="B660" s="12" t="s">
        <v>1389</v>
      </c>
      <c r="C660" s="12" t="s">
        <v>18</v>
      </c>
      <c r="D660" s="12">
        <v>47</v>
      </c>
      <c r="E660" s="12" t="s">
        <v>91</v>
      </c>
      <c r="F660" s="12" t="s">
        <v>13</v>
      </c>
      <c r="G660" s="12" t="s">
        <v>56</v>
      </c>
      <c r="H660" s="12" t="s">
        <v>57</v>
      </c>
      <c r="I660" s="12">
        <v>22</v>
      </c>
      <c r="J660" s="12">
        <v>42381</v>
      </c>
      <c r="K660" s="12">
        <v>69.760000000000005</v>
      </c>
      <c r="L660" s="12">
        <v>3</v>
      </c>
      <c r="M660" s="12">
        <v>2</v>
      </c>
      <c r="N660" s="12">
        <v>113</v>
      </c>
      <c r="O660" s="12" t="s">
        <v>22</v>
      </c>
      <c r="P660" s="12">
        <v>8.18</v>
      </c>
      <c r="Q660" s="12" t="s">
        <v>23</v>
      </c>
    </row>
    <row r="661" spans="1:17" x14ac:dyDescent="0.3">
      <c r="A661" s="12" t="s">
        <v>1390</v>
      </c>
      <c r="B661" s="12" t="s">
        <v>1391</v>
      </c>
      <c r="C661" s="12" t="s">
        <v>19</v>
      </c>
      <c r="D661" s="12">
        <v>36</v>
      </c>
      <c r="E661" s="12" t="s">
        <v>80</v>
      </c>
      <c r="F661" s="12" t="s">
        <v>17</v>
      </c>
      <c r="G661" s="12" t="s">
        <v>99</v>
      </c>
      <c r="H661" s="12" t="s">
        <v>62</v>
      </c>
      <c r="I661" s="12">
        <v>13</v>
      </c>
      <c r="J661" s="12">
        <v>96556</v>
      </c>
      <c r="K661" s="12">
        <v>71.52</v>
      </c>
      <c r="L661" s="12">
        <v>8</v>
      </c>
      <c r="M661" s="12">
        <v>18</v>
      </c>
      <c r="N661" s="12">
        <v>31</v>
      </c>
      <c r="O661" s="12" t="s">
        <v>22</v>
      </c>
      <c r="P661" s="12">
        <v>5.35</v>
      </c>
      <c r="Q661" s="12" t="s">
        <v>23</v>
      </c>
    </row>
    <row r="662" spans="1:17" x14ac:dyDescent="0.3">
      <c r="A662" s="12" t="s">
        <v>1392</v>
      </c>
      <c r="B662" s="12" t="s">
        <v>1393</v>
      </c>
      <c r="C662" s="12" t="s">
        <v>19</v>
      </c>
      <c r="D662" s="12">
        <v>53</v>
      </c>
      <c r="E662" s="12" t="s">
        <v>91</v>
      </c>
      <c r="F662" s="12" t="s">
        <v>15</v>
      </c>
      <c r="G662" s="12" t="s">
        <v>73</v>
      </c>
      <c r="H662" s="12" t="s">
        <v>86</v>
      </c>
      <c r="I662" s="12">
        <v>3</v>
      </c>
      <c r="J662" s="12">
        <v>63859</v>
      </c>
      <c r="K662" s="12">
        <v>99.2</v>
      </c>
      <c r="L662" s="12">
        <v>12</v>
      </c>
      <c r="M662" s="12">
        <v>10</v>
      </c>
      <c r="N662" s="12">
        <v>41</v>
      </c>
      <c r="O662" s="12" t="s">
        <v>20</v>
      </c>
      <c r="P662" s="12">
        <v>7.77</v>
      </c>
      <c r="Q662" s="12" t="s">
        <v>23</v>
      </c>
    </row>
    <row r="663" spans="1:17" x14ac:dyDescent="0.3">
      <c r="A663" s="12" t="s">
        <v>1394</v>
      </c>
      <c r="B663" s="12" t="s">
        <v>1395</v>
      </c>
      <c r="C663" s="12" t="s">
        <v>19</v>
      </c>
      <c r="D663" s="12">
        <v>53</v>
      </c>
      <c r="E663" s="12" t="s">
        <v>69</v>
      </c>
      <c r="F663" s="12" t="s">
        <v>16</v>
      </c>
      <c r="G663" s="12" t="s">
        <v>181</v>
      </c>
      <c r="H663" s="12" t="s">
        <v>77</v>
      </c>
      <c r="I663" s="12">
        <v>27</v>
      </c>
      <c r="J663" s="12">
        <v>96553</v>
      </c>
      <c r="K663" s="12">
        <v>94.13</v>
      </c>
      <c r="L663" s="12">
        <v>5</v>
      </c>
      <c r="M663" s="12">
        <v>45</v>
      </c>
      <c r="N663" s="12">
        <v>20</v>
      </c>
      <c r="O663" s="12" t="s">
        <v>20</v>
      </c>
      <c r="P663" s="12">
        <v>7.8</v>
      </c>
      <c r="Q663" s="12" t="s">
        <v>23</v>
      </c>
    </row>
    <row r="664" spans="1:17" x14ac:dyDescent="0.3">
      <c r="A664" s="12" t="s">
        <v>1396</v>
      </c>
      <c r="B664" s="12" t="s">
        <v>1397</v>
      </c>
      <c r="C664" s="12" t="s">
        <v>19</v>
      </c>
      <c r="D664" s="12">
        <v>45</v>
      </c>
      <c r="E664" s="12" t="s">
        <v>69</v>
      </c>
      <c r="F664" s="12" t="s">
        <v>14</v>
      </c>
      <c r="G664" s="12" t="s">
        <v>85</v>
      </c>
      <c r="H664" s="12" t="s">
        <v>62</v>
      </c>
      <c r="I664" s="12">
        <v>20</v>
      </c>
      <c r="J664" s="12">
        <v>122627</v>
      </c>
      <c r="K664" s="12">
        <v>97.9</v>
      </c>
      <c r="L664" s="12">
        <v>8</v>
      </c>
      <c r="M664" s="12">
        <v>58</v>
      </c>
      <c r="N664" s="12">
        <v>107</v>
      </c>
      <c r="O664" s="12" t="s">
        <v>22</v>
      </c>
      <c r="P664" s="12">
        <v>8.7799999999999994</v>
      </c>
      <c r="Q664" s="12" t="s">
        <v>24</v>
      </c>
    </row>
    <row r="665" spans="1:17" x14ac:dyDescent="0.3">
      <c r="A665" s="12" t="s">
        <v>1398</v>
      </c>
      <c r="B665" s="12" t="s">
        <v>1399</v>
      </c>
      <c r="C665" s="12" t="s">
        <v>18</v>
      </c>
      <c r="D665" s="12">
        <v>25</v>
      </c>
      <c r="E665" s="12" t="s">
        <v>80</v>
      </c>
      <c r="F665" s="12" t="s">
        <v>14</v>
      </c>
      <c r="G665" s="12" t="s">
        <v>110</v>
      </c>
      <c r="H665" s="12" t="s">
        <v>62</v>
      </c>
      <c r="I665" s="12">
        <v>0</v>
      </c>
      <c r="J665" s="12">
        <v>140166</v>
      </c>
      <c r="K665" s="12">
        <v>71.38</v>
      </c>
      <c r="L665" s="12">
        <v>10</v>
      </c>
      <c r="M665" s="12">
        <v>34</v>
      </c>
      <c r="N665" s="12">
        <v>81</v>
      </c>
      <c r="O665" s="12" t="s">
        <v>21</v>
      </c>
      <c r="P665" s="12">
        <v>6.4</v>
      </c>
      <c r="Q665" s="12" t="s">
        <v>23</v>
      </c>
    </row>
    <row r="666" spans="1:17" x14ac:dyDescent="0.3">
      <c r="A666" s="12" t="s">
        <v>1400</v>
      </c>
      <c r="B666" s="12" t="s">
        <v>1401</v>
      </c>
      <c r="C666" s="12" t="s">
        <v>19</v>
      </c>
      <c r="D666" s="12">
        <v>37</v>
      </c>
      <c r="E666" s="12" t="s">
        <v>80</v>
      </c>
      <c r="F666" s="12" t="s">
        <v>14</v>
      </c>
      <c r="G666" s="12" t="s">
        <v>70</v>
      </c>
      <c r="H666" s="12" t="s">
        <v>57</v>
      </c>
      <c r="I666" s="12">
        <v>7</v>
      </c>
      <c r="J666" s="12">
        <v>134541</v>
      </c>
      <c r="K666" s="12">
        <v>93.72</v>
      </c>
      <c r="L666" s="12">
        <v>15</v>
      </c>
      <c r="M666" s="12">
        <v>21</v>
      </c>
      <c r="N666" s="12">
        <v>50</v>
      </c>
      <c r="O666" s="12" t="s">
        <v>22</v>
      </c>
      <c r="P666" s="12">
        <v>8.1199999999999992</v>
      </c>
      <c r="Q666" s="12" t="s">
        <v>23</v>
      </c>
    </row>
    <row r="667" spans="1:17" x14ac:dyDescent="0.3">
      <c r="A667" s="12" t="s">
        <v>1402</v>
      </c>
      <c r="B667" s="12" t="s">
        <v>1403</v>
      </c>
      <c r="C667" s="12" t="s">
        <v>18</v>
      </c>
      <c r="D667" s="12">
        <v>28</v>
      </c>
      <c r="E667" s="12" t="s">
        <v>60</v>
      </c>
      <c r="F667" s="12" t="s">
        <v>14</v>
      </c>
      <c r="G667" s="12" t="s">
        <v>70</v>
      </c>
      <c r="H667" s="12" t="s">
        <v>77</v>
      </c>
      <c r="I667" s="12">
        <v>6</v>
      </c>
      <c r="J667" s="12">
        <v>98114</v>
      </c>
      <c r="K667" s="12">
        <v>66.94</v>
      </c>
      <c r="L667" s="12">
        <v>12</v>
      </c>
      <c r="M667" s="12">
        <v>32</v>
      </c>
      <c r="N667" s="12">
        <v>58</v>
      </c>
      <c r="O667" s="12" t="s">
        <v>22</v>
      </c>
      <c r="P667" s="12">
        <v>6.41</v>
      </c>
      <c r="Q667" s="12" t="s">
        <v>23</v>
      </c>
    </row>
    <row r="668" spans="1:17" x14ac:dyDescent="0.3">
      <c r="A668" s="12" t="s">
        <v>1404</v>
      </c>
      <c r="B668" s="12" t="s">
        <v>1405</v>
      </c>
      <c r="C668" s="12" t="s">
        <v>19</v>
      </c>
      <c r="D668" s="12">
        <v>51</v>
      </c>
      <c r="E668" s="12" t="s">
        <v>65</v>
      </c>
      <c r="F668" s="12" t="s">
        <v>15</v>
      </c>
      <c r="G668" s="12" t="s">
        <v>73</v>
      </c>
      <c r="H668" s="12" t="s">
        <v>86</v>
      </c>
      <c r="I668" s="12">
        <v>4</v>
      </c>
      <c r="J668" s="12">
        <v>41701</v>
      </c>
      <c r="K668" s="12">
        <v>73.209999999999994</v>
      </c>
      <c r="L668" s="12">
        <v>18</v>
      </c>
      <c r="M668" s="12">
        <v>36</v>
      </c>
      <c r="N668" s="12">
        <v>12</v>
      </c>
      <c r="O668" s="12" t="s">
        <v>20</v>
      </c>
      <c r="P668" s="12">
        <v>7.42</v>
      </c>
      <c r="Q668" s="12" t="s">
        <v>23</v>
      </c>
    </row>
    <row r="669" spans="1:17" x14ac:dyDescent="0.3">
      <c r="A669" s="12" t="s">
        <v>1406</v>
      </c>
      <c r="B669" s="12" t="s">
        <v>1407</v>
      </c>
      <c r="C669" s="12" t="s">
        <v>18</v>
      </c>
      <c r="D669" s="12">
        <v>24</v>
      </c>
      <c r="E669" s="12" t="s">
        <v>69</v>
      </c>
      <c r="F669" s="12" t="s">
        <v>16</v>
      </c>
      <c r="G669" s="12" t="s">
        <v>271</v>
      </c>
      <c r="H669" s="12" t="s">
        <v>77</v>
      </c>
      <c r="I669" s="12">
        <v>3</v>
      </c>
      <c r="J669" s="12">
        <v>46990</v>
      </c>
      <c r="K669" s="12">
        <v>68.459999999999994</v>
      </c>
      <c r="L669" s="12">
        <v>4</v>
      </c>
      <c r="M669" s="12">
        <v>59</v>
      </c>
      <c r="N669" s="12">
        <v>53</v>
      </c>
      <c r="O669" s="12" t="s">
        <v>22</v>
      </c>
      <c r="P669" s="12">
        <v>4.07</v>
      </c>
      <c r="Q669" s="12" t="s">
        <v>23</v>
      </c>
    </row>
    <row r="670" spans="1:17" x14ac:dyDescent="0.3">
      <c r="A670" s="12" t="s">
        <v>1408</v>
      </c>
      <c r="B670" s="12" t="s">
        <v>1409</v>
      </c>
      <c r="C670" s="12" t="s">
        <v>19</v>
      </c>
      <c r="D670" s="12">
        <v>24</v>
      </c>
      <c r="E670" s="12" t="s">
        <v>80</v>
      </c>
      <c r="F670" s="12" t="s">
        <v>14</v>
      </c>
      <c r="G670" s="12" t="s">
        <v>110</v>
      </c>
      <c r="H670" s="12" t="s">
        <v>62</v>
      </c>
      <c r="I670" s="12">
        <v>3</v>
      </c>
      <c r="J670" s="12">
        <v>160373</v>
      </c>
      <c r="K670" s="12">
        <v>72.819999999999993</v>
      </c>
      <c r="L670" s="12">
        <v>6</v>
      </c>
      <c r="M670" s="12">
        <v>21</v>
      </c>
      <c r="N670" s="12">
        <v>19</v>
      </c>
      <c r="O670" s="12" t="s">
        <v>20</v>
      </c>
      <c r="P670" s="12">
        <v>5.57</v>
      </c>
      <c r="Q670" s="12" t="s">
        <v>23</v>
      </c>
    </row>
    <row r="671" spans="1:17" x14ac:dyDescent="0.3">
      <c r="A671" s="12" t="s">
        <v>1410</v>
      </c>
      <c r="B671" s="12" t="s">
        <v>1411</v>
      </c>
      <c r="C671" s="12" t="s">
        <v>19</v>
      </c>
      <c r="D671" s="12">
        <v>48</v>
      </c>
      <c r="E671" s="12" t="s">
        <v>69</v>
      </c>
      <c r="F671" s="12" t="s">
        <v>13</v>
      </c>
      <c r="G671" s="12" t="s">
        <v>66</v>
      </c>
      <c r="H671" s="12" t="s">
        <v>57</v>
      </c>
      <c r="I671" s="12">
        <v>17</v>
      </c>
      <c r="J671" s="12">
        <v>65164</v>
      </c>
      <c r="K671" s="12">
        <v>73.95</v>
      </c>
      <c r="L671" s="12">
        <v>12</v>
      </c>
      <c r="M671" s="12">
        <v>9</v>
      </c>
      <c r="N671" s="12">
        <v>27</v>
      </c>
      <c r="O671" s="12" t="s">
        <v>20</v>
      </c>
      <c r="P671" s="12">
        <v>6.88</v>
      </c>
      <c r="Q671" s="12" t="s">
        <v>23</v>
      </c>
    </row>
    <row r="672" spans="1:17" x14ac:dyDescent="0.3">
      <c r="A672" s="12" t="s">
        <v>1412</v>
      </c>
      <c r="B672" s="12" t="s">
        <v>1413</v>
      </c>
      <c r="C672" s="12" t="s">
        <v>19</v>
      </c>
      <c r="D672" s="12">
        <v>30</v>
      </c>
      <c r="E672" s="12" t="s">
        <v>55</v>
      </c>
      <c r="F672" s="12" t="s">
        <v>17</v>
      </c>
      <c r="G672" s="12" t="s">
        <v>99</v>
      </c>
      <c r="H672" s="12" t="s">
        <v>57</v>
      </c>
      <c r="I672" s="12">
        <v>4</v>
      </c>
      <c r="J672" s="12">
        <v>135259</v>
      </c>
      <c r="K672" s="12">
        <v>77.69</v>
      </c>
      <c r="L672" s="12">
        <v>10</v>
      </c>
      <c r="M672" s="12">
        <v>25</v>
      </c>
      <c r="N672" s="12">
        <v>68</v>
      </c>
      <c r="O672" s="12" t="s">
        <v>22</v>
      </c>
      <c r="P672" s="12">
        <v>6.28</v>
      </c>
      <c r="Q672" s="12" t="s">
        <v>23</v>
      </c>
    </row>
    <row r="673" spans="1:17" x14ac:dyDescent="0.3">
      <c r="A673" s="12" t="s">
        <v>1414</v>
      </c>
      <c r="B673" s="12" t="s">
        <v>1415</v>
      </c>
      <c r="C673" s="12" t="s">
        <v>18</v>
      </c>
      <c r="D673" s="12">
        <v>24</v>
      </c>
      <c r="E673" s="12" t="s">
        <v>65</v>
      </c>
      <c r="F673" s="12" t="s">
        <v>17</v>
      </c>
      <c r="G673" s="12" t="s">
        <v>99</v>
      </c>
      <c r="H673" s="12" t="s">
        <v>62</v>
      </c>
      <c r="I673" s="12">
        <v>1</v>
      </c>
      <c r="J673" s="12">
        <v>113130</v>
      </c>
      <c r="K673" s="12">
        <v>89.6</v>
      </c>
      <c r="L673" s="12">
        <v>19</v>
      </c>
      <c r="M673" s="12">
        <v>17</v>
      </c>
      <c r="N673" s="12">
        <v>25</v>
      </c>
      <c r="O673" s="12" t="s">
        <v>22</v>
      </c>
      <c r="P673" s="12">
        <v>7.01</v>
      </c>
      <c r="Q673" s="12" t="s">
        <v>23</v>
      </c>
    </row>
    <row r="674" spans="1:17" x14ac:dyDescent="0.3">
      <c r="A674" s="12" t="s">
        <v>1416</v>
      </c>
      <c r="B674" s="12" t="s">
        <v>1417</v>
      </c>
      <c r="C674" s="12" t="s">
        <v>18</v>
      </c>
      <c r="D674" s="12">
        <v>32</v>
      </c>
      <c r="E674" s="12" t="s">
        <v>80</v>
      </c>
      <c r="F674" s="12" t="s">
        <v>14</v>
      </c>
      <c r="G674" s="12" t="s">
        <v>248</v>
      </c>
      <c r="H674" s="12" t="s">
        <v>86</v>
      </c>
      <c r="I674" s="12">
        <v>3</v>
      </c>
      <c r="J674" s="12">
        <v>84789</v>
      </c>
      <c r="K674" s="12">
        <v>81.489999999999995</v>
      </c>
      <c r="L674" s="12">
        <v>11</v>
      </c>
      <c r="M674" s="12">
        <v>60</v>
      </c>
      <c r="N674" s="12">
        <v>18</v>
      </c>
      <c r="O674" s="12" t="s">
        <v>20</v>
      </c>
      <c r="P674" s="12">
        <v>5.24</v>
      </c>
      <c r="Q674" s="12" t="s">
        <v>23</v>
      </c>
    </row>
    <row r="675" spans="1:17" x14ac:dyDescent="0.3">
      <c r="A675" s="12" t="s">
        <v>1418</v>
      </c>
      <c r="B675" s="12" t="s">
        <v>1419</v>
      </c>
      <c r="C675" s="12" t="s">
        <v>19</v>
      </c>
      <c r="D675" s="12">
        <v>40</v>
      </c>
      <c r="E675" s="12" t="s">
        <v>65</v>
      </c>
      <c r="F675" s="12" t="s">
        <v>13</v>
      </c>
      <c r="G675" s="12" t="s">
        <v>56</v>
      </c>
      <c r="H675" s="12" t="s">
        <v>57</v>
      </c>
      <c r="I675" s="12">
        <v>19</v>
      </c>
      <c r="J675" s="12">
        <v>97772</v>
      </c>
      <c r="K675" s="12">
        <v>93.93</v>
      </c>
      <c r="L675" s="12">
        <v>4</v>
      </c>
      <c r="M675" s="12">
        <v>54</v>
      </c>
      <c r="N675" s="12">
        <v>12</v>
      </c>
      <c r="O675" s="12" t="s">
        <v>20</v>
      </c>
      <c r="P675" s="12">
        <v>5.43</v>
      </c>
      <c r="Q675" s="12" t="s">
        <v>23</v>
      </c>
    </row>
    <row r="676" spans="1:17" x14ac:dyDescent="0.3">
      <c r="A676" s="12" t="s">
        <v>1420</v>
      </c>
      <c r="B676" s="12" t="s">
        <v>1421</v>
      </c>
      <c r="C676" s="12" t="s">
        <v>18</v>
      </c>
      <c r="D676" s="12">
        <v>54</v>
      </c>
      <c r="E676" s="12" t="s">
        <v>69</v>
      </c>
      <c r="F676" s="12" t="s">
        <v>17</v>
      </c>
      <c r="G676" s="12" t="s">
        <v>102</v>
      </c>
      <c r="H676" s="12" t="s">
        <v>77</v>
      </c>
      <c r="I676" s="12">
        <v>13</v>
      </c>
      <c r="J676" s="12">
        <v>129410</v>
      </c>
      <c r="K676" s="12">
        <v>73.930000000000007</v>
      </c>
      <c r="L676" s="12">
        <v>8</v>
      </c>
      <c r="M676" s="12">
        <v>59</v>
      </c>
      <c r="N676" s="12">
        <v>83</v>
      </c>
      <c r="O676" s="12" t="s">
        <v>22</v>
      </c>
      <c r="P676" s="12">
        <v>6.31</v>
      </c>
      <c r="Q676" s="12" t="s">
        <v>23</v>
      </c>
    </row>
    <row r="677" spans="1:17" x14ac:dyDescent="0.3">
      <c r="A677" s="12" t="s">
        <v>1422</v>
      </c>
      <c r="B677" s="12" t="s">
        <v>1423</v>
      </c>
      <c r="C677" s="12" t="s">
        <v>19</v>
      </c>
      <c r="D677" s="12">
        <v>22</v>
      </c>
      <c r="E677" s="12" t="s">
        <v>55</v>
      </c>
      <c r="F677" s="12" t="s">
        <v>15</v>
      </c>
      <c r="G677" s="12" t="s">
        <v>130</v>
      </c>
      <c r="H677" s="12" t="s">
        <v>86</v>
      </c>
      <c r="I677" s="12">
        <v>1</v>
      </c>
      <c r="J677" s="12">
        <v>77086</v>
      </c>
      <c r="K677" s="12">
        <v>77.89</v>
      </c>
      <c r="L677" s="12">
        <v>15</v>
      </c>
      <c r="M677" s="12">
        <v>26</v>
      </c>
      <c r="N677" s="12">
        <v>15</v>
      </c>
      <c r="O677" s="12" t="s">
        <v>22</v>
      </c>
      <c r="P677" s="12">
        <v>5.91</v>
      </c>
      <c r="Q677" s="12" t="s">
        <v>23</v>
      </c>
    </row>
    <row r="678" spans="1:17" x14ac:dyDescent="0.3">
      <c r="A678" s="12" t="s">
        <v>1424</v>
      </c>
      <c r="B678" s="12" t="s">
        <v>1425</v>
      </c>
      <c r="C678" s="12" t="s">
        <v>18</v>
      </c>
      <c r="D678" s="12">
        <v>26</v>
      </c>
      <c r="E678" s="12" t="s">
        <v>65</v>
      </c>
      <c r="F678" s="12" t="s">
        <v>16</v>
      </c>
      <c r="G678" s="12" t="s">
        <v>271</v>
      </c>
      <c r="H678" s="12" t="s">
        <v>77</v>
      </c>
      <c r="I678" s="12">
        <v>3</v>
      </c>
      <c r="J678" s="12">
        <v>56454</v>
      </c>
      <c r="K678" s="12">
        <v>77.72</v>
      </c>
      <c r="L678" s="12">
        <v>16</v>
      </c>
      <c r="M678" s="12">
        <v>30</v>
      </c>
      <c r="N678" s="12">
        <v>111</v>
      </c>
      <c r="O678" s="12" t="s">
        <v>21</v>
      </c>
      <c r="P678" s="12">
        <v>8.84</v>
      </c>
      <c r="Q678" s="12" t="s">
        <v>24</v>
      </c>
    </row>
    <row r="679" spans="1:17" x14ac:dyDescent="0.3">
      <c r="A679" s="12" t="s">
        <v>1426</v>
      </c>
      <c r="B679" s="12" t="s">
        <v>1427</v>
      </c>
      <c r="C679" s="12" t="s">
        <v>19</v>
      </c>
      <c r="D679" s="12">
        <v>47</v>
      </c>
      <c r="E679" s="12" t="s">
        <v>55</v>
      </c>
      <c r="F679" s="12" t="s">
        <v>14</v>
      </c>
      <c r="G679" s="12" t="s">
        <v>248</v>
      </c>
      <c r="H679" s="12" t="s">
        <v>77</v>
      </c>
      <c r="I679" s="12">
        <v>25</v>
      </c>
      <c r="J679" s="12">
        <v>157887</v>
      </c>
      <c r="K679" s="12">
        <v>76.040000000000006</v>
      </c>
      <c r="L679" s="12">
        <v>19</v>
      </c>
      <c r="M679" s="12">
        <v>15</v>
      </c>
      <c r="N679" s="12">
        <v>50</v>
      </c>
      <c r="O679" s="12" t="s">
        <v>22</v>
      </c>
      <c r="P679" s="12">
        <v>8.02</v>
      </c>
      <c r="Q679" s="12" t="s">
        <v>23</v>
      </c>
    </row>
    <row r="680" spans="1:17" x14ac:dyDescent="0.3">
      <c r="A680" s="12" t="s">
        <v>1428</v>
      </c>
      <c r="B680" s="12" t="s">
        <v>1429</v>
      </c>
      <c r="C680" s="12" t="s">
        <v>18</v>
      </c>
      <c r="D680" s="12">
        <v>45</v>
      </c>
      <c r="E680" s="12" t="s">
        <v>60</v>
      </c>
      <c r="F680" s="12" t="s">
        <v>12</v>
      </c>
      <c r="G680" s="12" t="s">
        <v>152</v>
      </c>
      <c r="H680" s="12" t="s">
        <v>57</v>
      </c>
      <c r="I680" s="12">
        <v>1</v>
      </c>
      <c r="J680" s="12">
        <v>150049</v>
      </c>
      <c r="K680" s="12">
        <v>82.56</v>
      </c>
      <c r="L680" s="12">
        <v>5</v>
      </c>
      <c r="M680" s="12">
        <v>44</v>
      </c>
      <c r="N680" s="12">
        <v>15</v>
      </c>
      <c r="O680" s="12" t="s">
        <v>20</v>
      </c>
      <c r="P680" s="12">
        <v>5</v>
      </c>
      <c r="Q680" s="12" t="s">
        <v>23</v>
      </c>
    </row>
    <row r="681" spans="1:17" x14ac:dyDescent="0.3">
      <c r="A681" s="12" t="s">
        <v>1430</v>
      </c>
      <c r="B681" s="12" t="s">
        <v>1431</v>
      </c>
      <c r="C681" s="12" t="s">
        <v>18</v>
      </c>
      <c r="D681" s="12">
        <v>42</v>
      </c>
      <c r="E681" s="12" t="s">
        <v>80</v>
      </c>
      <c r="F681" s="12" t="s">
        <v>17</v>
      </c>
      <c r="G681" s="12" t="s">
        <v>99</v>
      </c>
      <c r="H681" s="12" t="s">
        <v>77</v>
      </c>
      <c r="I681" s="12">
        <v>17</v>
      </c>
      <c r="J681" s="12">
        <v>105520</v>
      </c>
      <c r="K681" s="12">
        <v>91.79</v>
      </c>
      <c r="L681" s="12">
        <v>8</v>
      </c>
      <c r="M681" s="12">
        <v>54</v>
      </c>
      <c r="N681" s="12">
        <v>63</v>
      </c>
      <c r="O681" s="12" t="s">
        <v>20</v>
      </c>
      <c r="P681" s="12">
        <v>8.15</v>
      </c>
      <c r="Q681" s="12" t="s">
        <v>23</v>
      </c>
    </row>
    <row r="682" spans="1:17" x14ac:dyDescent="0.3">
      <c r="A682" s="12" t="s">
        <v>1432</v>
      </c>
      <c r="B682" s="12" t="s">
        <v>1433</v>
      </c>
      <c r="C682" s="12" t="s">
        <v>19</v>
      </c>
      <c r="D682" s="12">
        <v>56</v>
      </c>
      <c r="E682" s="12" t="s">
        <v>69</v>
      </c>
      <c r="F682" s="12" t="s">
        <v>13</v>
      </c>
      <c r="G682" s="12" t="s">
        <v>107</v>
      </c>
      <c r="H682" s="12" t="s">
        <v>77</v>
      </c>
      <c r="I682" s="12">
        <v>20</v>
      </c>
      <c r="J682" s="12">
        <v>78386</v>
      </c>
      <c r="K682" s="12">
        <v>75.64</v>
      </c>
      <c r="L682" s="12">
        <v>18</v>
      </c>
      <c r="M682" s="12">
        <v>32</v>
      </c>
      <c r="N682" s="12">
        <v>51</v>
      </c>
      <c r="O682" s="12" t="s">
        <v>22</v>
      </c>
      <c r="P682" s="12">
        <v>7.61</v>
      </c>
      <c r="Q682" s="12" t="s">
        <v>23</v>
      </c>
    </row>
    <row r="683" spans="1:17" x14ac:dyDescent="0.3">
      <c r="A683" s="12" t="s">
        <v>1434</v>
      </c>
      <c r="B683" s="12" t="s">
        <v>1435</v>
      </c>
      <c r="C683" s="12" t="s">
        <v>18</v>
      </c>
      <c r="D683" s="12">
        <v>38</v>
      </c>
      <c r="E683" s="12" t="s">
        <v>91</v>
      </c>
      <c r="F683" s="12" t="s">
        <v>14</v>
      </c>
      <c r="G683" s="12" t="s">
        <v>110</v>
      </c>
      <c r="H683" s="12" t="s">
        <v>62</v>
      </c>
      <c r="I683" s="12">
        <v>1</v>
      </c>
      <c r="J683" s="12">
        <v>162081</v>
      </c>
      <c r="K683" s="12">
        <v>69.400000000000006</v>
      </c>
      <c r="L683" s="12">
        <v>9</v>
      </c>
      <c r="M683" s="12">
        <v>49</v>
      </c>
      <c r="N683" s="12">
        <v>97</v>
      </c>
      <c r="O683" s="12" t="s">
        <v>22</v>
      </c>
      <c r="P683" s="12">
        <v>7.62</v>
      </c>
      <c r="Q683" s="12" t="s">
        <v>23</v>
      </c>
    </row>
    <row r="684" spans="1:17" x14ac:dyDescent="0.3">
      <c r="A684" s="12" t="s">
        <v>1436</v>
      </c>
      <c r="B684" s="12" t="s">
        <v>1437</v>
      </c>
      <c r="C684" s="12" t="s">
        <v>19</v>
      </c>
      <c r="D684" s="12">
        <v>43</v>
      </c>
      <c r="E684" s="12" t="s">
        <v>55</v>
      </c>
      <c r="F684" s="12" t="s">
        <v>12</v>
      </c>
      <c r="G684" s="12" t="s">
        <v>92</v>
      </c>
      <c r="H684" s="12" t="s">
        <v>62</v>
      </c>
      <c r="I684" s="12">
        <v>7</v>
      </c>
      <c r="J684" s="12">
        <v>124678</v>
      </c>
      <c r="K684" s="12">
        <v>79.989999999999995</v>
      </c>
      <c r="L684" s="12">
        <v>1</v>
      </c>
      <c r="M684" s="12">
        <v>43</v>
      </c>
      <c r="N684" s="12">
        <v>111</v>
      </c>
      <c r="O684" s="12" t="s">
        <v>20</v>
      </c>
      <c r="P684" s="12">
        <v>6.31</v>
      </c>
      <c r="Q684" s="12" t="s">
        <v>23</v>
      </c>
    </row>
    <row r="685" spans="1:17" x14ac:dyDescent="0.3">
      <c r="A685" s="12" t="s">
        <v>1438</v>
      </c>
      <c r="B685" s="12" t="s">
        <v>542</v>
      </c>
      <c r="C685" s="12" t="s">
        <v>18</v>
      </c>
      <c r="D685" s="12">
        <v>39</v>
      </c>
      <c r="E685" s="12" t="s">
        <v>91</v>
      </c>
      <c r="F685" s="12" t="s">
        <v>16</v>
      </c>
      <c r="G685" s="12" t="s">
        <v>271</v>
      </c>
      <c r="H685" s="12" t="s">
        <v>62</v>
      </c>
      <c r="I685" s="12">
        <v>3</v>
      </c>
      <c r="J685" s="12">
        <v>57013</v>
      </c>
      <c r="K685" s="12">
        <v>76.08</v>
      </c>
      <c r="L685" s="12">
        <v>8</v>
      </c>
      <c r="M685" s="12">
        <v>45</v>
      </c>
      <c r="N685" s="12">
        <v>22</v>
      </c>
      <c r="O685" s="12" t="s">
        <v>22</v>
      </c>
      <c r="P685" s="12">
        <v>5.9</v>
      </c>
      <c r="Q685" s="12" t="s">
        <v>23</v>
      </c>
    </row>
    <row r="686" spans="1:17" x14ac:dyDescent="0.3">
      <c r="A686" s="12" t="s">
        <v>1439</v>
      </c>
      <c r="B686" s="12" t="s">
        <v>1440</v>
      </c>
      <c r="C686" s="12" t="s">
        <v>19</v>
      </c>
      <c r="D686" s="12">
        <v>27</v>
      </c>
      <c r="E686" s="12" t="s">
        <v>91</v>
      </c>
      <c r="F686" s="12" t="s">
        <v>16</v>
      </c>
      <c r="G686" s="12" t="s">
        <v>76</v>
      </c>
      <c r="H686" s="12" t="s">
        <v>62</v>
      </c>
      <c r="I686" s="12">
        <v>0</v>
      </c>
      <c r="J686" s="12">
        <v>66149</v>
      </c>
      <c r="K686" s="12">
        <v>67.53</v>
      </c>
      <c r="L686" s="12">
        <v>9</v>
      </c>
      <c r="M686" s="12">
        <v>47</v>
      </c>
      <c r="N686" s="12">
        <v>43</v>
      </c>
      <c r="O686" s="12" t="s">
        <v>21</v>
      </c>
      <c r="P686" s="12">
        <v>5.41</v>
      </c>
      <c r="Q686" s="12" t="s">
        <v>23</v>
      </c>
    </row>
    <row r="687" spans="1:17" x14ac:dyDescent="0.3">
      <c r="A687" s="12" t="s">
        <v>1441</v>
      </c>
      <c r="B687" s="12" t="s">
        <v>1442</v>
      </c>
      <c r="C687" s="12" t="s">
        <v>18</v>
      </c>
      <c r="D687" s="12">
        <v>45</v>
      </c>
      <c r="E687" s="12" t="s">
        <v>69</v>
      </c>
      <c r="F687" s="12" t="s">
        <v>12</v>
      </c>
      <c r="G687" s="12" t="s">
        <v>152</v>
      </c>
      <c r="H687" s="12" t="s">
        <v>62</v>
      </c>
      <c r="I687" s="12">
        <v>20</v>
      </c>
      <c r="J687" s="12">
        <v>112865</v>
      </c>
      <c r="K687" s="12">
        <v>88.66</v>
      </c>
      <c r="L687" s="12">
        <v>15</v>
      </c>
      <c r="M687" s="12">
        <v>27</v>
      </c>
      <c r="N687" s="12">
        <v>18</v>
      </c>
      <c r="O687" s="12" t="s">
        <v>22</v>
      </c>
      <c r="P687" s="12">
        <v>7.21</v>
      </c>
      <c r="Q687" s="12" t="s">
        <v>23</v>
      </c>
    </row>
    <row r="688" spans="1:17" x14ac:dyDescent="0.3">
      <c r="A688" s="12" t="s">
        <v>1443</v>
      </c>
      <c r="B688" s="12" t="s">
        <v>1444</v>
      </c>
      <c r="C688" s="12" t="s">
        <v>18</v>
      </c>
      <c r="D688" s="12">
        <v>22</v>
      </c>
      <c r="E688" s="12" t="s">
        <v>69</v>
      </c>
      <c r="F688" s="12" t="s">
        <v>15</v>
      </c>
      <c r="G688" s="12" t="s">
        <v>130</v>
      </c>
      <c r="H688" s="12" t="s">
        <v>57</v>
      </c>
      <c r="I688" s="12">
        <v>0</v>
      </c>
      <c r="J688" s="12">
        <v>55860</v>
      </c>
      <c r="K688" s="12">
        <v>71.06</v>
      </c>
      <c r="L688" s="12">
        <v>5</v>
      </c>
      <c r="M688" s="12">
        <v>30</v>
      </c>
      <c r="N688" s="12">
        <v>98</v>
      </c>
      <c r="O688" s="12" t="s">
        <v>20</v>
      </c>
      <c r="P688" s="12">
        <v>6.14</v>
      </c>
      <c r="Q688" s="12" t="s">
        <v>23</v>
      </c>
    </row>
    <row r="689" spans="1:17" x14ac:dyDescent="0.3">
      <c r="A689" s="12" t="s">
        <v>1445</v>
      </c>
      <c r="B689" s="12" t="s">
        <v>1446</v>
      </c>
      <c r="C689" s="12" t="s">
        <v>19</v>
      </c>
      <c r="D689" s="12">
        <v>42</v>
      </c>
      <c r="E689" s="12" t="s">
        <v>65</v>
      </c>
      <c r="F689" s="12" t="s">
        <v>13</v>
      </c>
      <c r="G689" s="12" t="s">
        <v>66</v>
      </c>
      <c r="H689" s="12" t="s">
        <v>57</v>
      </c>
      <c r="I689" s="12">
        <v>19</v>
      </c>
      <c r="J689" s="12">
        <v>89779</v>
      </c>
      <c r="K689" s="12">
        <v>89.23</v>
      </c>
      <c r="L689" s="12">
        <v>3</v>
      </c>
      <c r="M689" s="12">
        <v>17</v>
      </c>
      <c r="N689" s="12">
        <v>46</v>
      </c>
      <c r="O689" s="12" t="s">
        <v>22</v>
      </c>
      <c r="P689" s="12">
        <v>6.85</v>
      </c>
      <c r="Q689" s="12" t="s">
        <v>23</v>
      </c>
    </row>
    <row r="690" spans="1:17" x14ac:dyDescent="0.3">
      <c r="A690" s="12" t="s">
        <v>1447</v>
      </c>
      <c r="B690" s="12" t="s">
        <v>1448</v>
      </c>
      <c r="C690" s="12" t="s">
        <v>18</v>
      </c>
      <c r="D690" s="12">
        <v>57</v>
      </c>
      <c r="E690" s="12" t="s">
        <v>65</v>
      </c>
      <c r="F690" s="12" t="s">
        <v>16</v>
      </c>
      <c r="G690" s="12" t="s">
        <v>181</v>
      </c>
      <c r="H690" s="12" t="s">
        <v>62</v>
      </c>
      <c r="I690" s="12">
        <v>19</v>
      </c>
      <c r="J690" s="12">
        <v>92331</v>
      </c>
      <c r="K690" s="12">
        <v>81.38</v>
      </c>
      <c r="L690" s="12">
        <v>11</v>
      </c>
      <c r="M690" s="12">
        <v>19</v>
      </c>
      <c r="N690" s="12">
        <v>100</v>
      </c>
      <c r="O690" s="12" t="s">
        <v>20</v>
      </c>
      <c r="P690" s="12">
        <v>7.86</v>
      </c>
      <c r="Q690" s="12" t="s">
        <v>23</v>
      </c>
    </row>
    <row r="691" spans="1:17" x14ac:dyDescent="0.3">
      <c r="A691" s="12" t="s">
        <v>1449</v>
      </c>
      <c r="B691" s="12" t="s">
        <v>1450</v>
      </c>
      <c r="C691" s="12" t="s">
        <v>19</v>
      </c>
      <c r="D691" s="12">
        <v>31</v>
      </c>
      <c r="E691" s="12" t="s">
        <v>60</v>
      </c>
      <c r="F691" s="12" t="s">
        <v>15</v>
      </c>
      <c r="G691" s="12" t="s">
        <v>73</v>
      </c>
      <c r="H691" s="12" t="s">
        <v>77</v>
      </c>
      <c r="I691" s="12">
        <v>9</v>
      </c>
      <c r="J691" s="12">
        <v>75326</v>
      </c>
      <c r="K691" s="12">
        <v>76.790000000000006</v>
      </c>
      <c r="L691" s="12">
        <v>19</v>
      </c>
      <c r="M691" s="12">
        <v>8</v>
      </c>
      <c r="N691" s="12">
        <v>103</v>
      </c>
      <c r="O691" s="12" t="s">
        <v>21</v>
      </c>
      <c r="P691" s="12">
        <v>9.01</v>
      </c>
      <c r="Q691" s="12" t="s">
        <v>24</v>
      </c>
    </row>
    <row r="692" spans="1:17" x14ac:dyDescent="0.3">
      <c r="A692" s="12" t="s">
        <v>1451</v>
      </c>
      <c r="B692" s="12" t="s">
        <v>1452</v>
      </c>
      <c r="C692" s="12" t="s">
        <v>19</v>
      </c>
      <c r="D692" s="12">
        <v>45</v>
      </c>
      <c r="E692" s="12" t="s">
        <v>69</v>
      </c>
      <c r="F692" s="12" t="s">
        <v>12</v>
      </c>
      <c r="G692" s="12" t="s">
        <v>92</v>
      </c>
      <c r="H692" s="12" t="s">
        <v>86</v>
      </c>
      <c r="I692" s="12">
        <v>14</v>
      </c>
      <c r="J692" s="12">
        <v>159618</v>
      </c>
      <c r="K692" s="12">
        <v>94.83</v>
      </c>
      <c r="L692" s="12">
        <v>4</v>
      </c>
      <c r="M692" s="12">
        <v>35</v>
      </c>
      <c r="N692" s="12">
        <v>53</v>
      </c>
      <c r="O692" s="12" t="s">
        <v>20</v>
      </c>
      <c r="P692" s="12">
        <v>6.6</v>
      </c>
      <c r="Q692" s="12" t="s">
        <v>23</v>
      </c>
    </row>
    <row r="693" spans="1:17" x14ac:dyDescent="0.3">
      <c r="A693" s="12" t="s">
        <v>1453</v>
      </c>
      <c r="B693" s="12" t="s">
        <v>1454</v>
      </c>
      <c r="C693" s="12" t="s">
        <v>19</v>
      </c>
      <c r="D693" s="12">
        <v>52</v>
      </c>
      <c r="E693" s="12" t="s">
        <v>60</v>
      </c>
      <c r="F693" s="12" t="s">
        <v>16</v>
      </c>
      <c r="G693" s="12" t="s">
        <v>181</v>
      </c>
      <c r="H693" s="12" t="s">
        <v>86</v>
      </c>
      <c r="I693" s="12">
        <v>14</v>
      </c>
      <c r="J693" s="12">
        <v>68343</v>
      </c>
      <c r="K693" s="12">
        <v>84.81</v>
      </c>
      <c r="L693" s="12">
        <v>3</v>
      </c>
      <c r="M693" s="12">
        <v>26</v>
      </c>
      <c r="N693" s="12">
        <v>111</v>
      </c>
      <c r="O693" s="12" t="s">
        <v>22</v>
      </c>
      <c r="P693" s="12">
        <v>6.74</v>
      </c>
      <c r="Q693" s="12" t="s">
        <v>23</v>
      </c>
    </row>
    <row r="694" spans="1:17" x14ac:dyDescent="0.3">
      <c r="A694" s="12" t="s">
        <v>1455</v>
      </c>
      <c r="B694" s="12" t="s">
        <v>1456</v>
      </c>
      <c r="C694" s="12" t="s">
        <v>18</v>
      </c>
      <c r="D694" s="12">
        <v>47</v>
      </c>
      <c r="E694" s="12" t="s">
        <v>91</v>
      </c>
      <c r="F694" s="12" t="s">
        <v>12</v>
      </c>
      <c r="G694" s="12" t="s">
        <v>152</v>
      </c>
      <c r="H694" s="12" t="s">
        <v>57</v>
      </c>
      <c r="I694" s="12">
        <v>17</v>
      </c>
      <c r="J694" s="12">
        <v>73755</v>
      </c>
      <c r="K694" s="12">
        <v>65.010000000000005</v>
      </c>
      <c r="L694" s="12">
        <v>9</v>
      </c>
      <c r="M694" s="12">
        <v>6</v>
      </c>
      <c r="N694" s="12">
        <v>61</v>
      </c>
      <c r="O694" s="12" t="s">
        <v>20</v>
      </c>
      <c r="P694" s="12">
        <v>6.91</v>
      </c>
      <c r="Q694" s="12" t="s">
        <v>23</v>
      </c>
    </row>
    <row r="695" spans="1:17" x14ac:dyDescent="0.3">
      <c r="A695" s="12" t="s">
        <v>1457</v>
      </c>
      <c r="B695" s="12" t="s">
        <v>1458</v>
      </c>
      <c r="C695" s="12" t="s">
        <v>19</v>
      </c>
      <c r="D695" s="12">
        <v>49</v>
      </c>
      <c r="E695" s="12" t="s">
        <v>80</v>
      </c>
      <c r="F695" s="12" t="s">
        <v>12</v>
      </c>
      <c r="G695" s="12" t="s">
        <v>92</v>
      </c>
      <c r="H695" s="12" t="s">
        <v>62</v>
      </c>
      <c r="I695" s="12">
        <v>1</v>
      </c>
      <c r="J695" s="12">
        <v>82017</v>
      </c>
      <c r="K695" s="12">
        <v>99.06</v>
      </c>
      <c r="L695" s="12">
        <v>13</v>
      </c>
      <c r="M695" s="12">
        <v>52</v>
      </c>
      <c r="N695" s="12">
        <v>109</v>
      </c>
      <c r="O695" s="12" t="s">
        <v>20</v>
      </c>
      <c r="P695" s="12">
        <v>9.3000000000000007</v>
      </c>
      <c r="Q695" s="12" t="s">
        <v>23</v>
      </c>
    </row>
    <row r="696" spans="1:17" x14ac:dyDescent="0.3">
      <c r="A696" s="12" t="s">
        <v>1459</v>
      </c>
      <c r="B696" s="12" t="s">
        <v>1460</v>
      </c>
      <c r="C696" s="12" t="s">
        <v>19</v>
      </c>
      <c r="D696" s="12">
        <v>49</v>
      </c>
      <c r="E696" s="12" t="s">
        <v>91</v>
      </c>
      <c r="F696" s="12" t="s">
        <v>17</v>
      </c>
      <c r="G696" s="12" t="s">
        <v>99</v>
      </c>
      <c r="H696" s="12" t="s">
        <v>57</v>
      </c>
      <c r="I696" s="12">
        <v>26</v>
      </c>
      <c r="J696" s="12">
        <v>82180</v>
      </c>
      <c r="K696" s="12">
        <v>69.760000000000005</v>
      </c>
      <c r="L696" s="12">
        <v>1</v>
      </c>
      <c r="M696" s="12">
        <v>5</v>
      </c>
      <c r="N696" s="12">
        <v>58</v>
      </c>
      <c r="O696" s="12" t="s">
        <v>21</v>
      </c>
      <c r="P696" s="12">
        <v>5.38</v>
      </c>
      <c r="Q696" s="12" t="s">
        <v>23</v>
      </c>
    </row>
    <row r="697" spans="1:17" x14ac:dyDescent="0.3">
      <c r="A697" s="12" t="s">
        <v>1461</v>
      </c>
      <c r="B697" s="12" t="s">
        <v>1462</v>
      </c>
      <c r="C697" s="12" t="s">
        <v>19</v>
      </c>
      <c r="D697" s="12">
        <v>58</v>
      </c>
      <c r="E697" s="12" t="s">
        <v>91</v>
      </c>
      <c r="F697" s="12" t="s">
        <v>12</v>
      </c>
      <c r="G697" s="12" t="s">
        <v>92</v>
      </c>
      <c r="H697" s="12" t="s">
        <v>57</v>
      </c>
      <c r="I697" s="12">
        <v>31</v>
      </c>
      <c r="J697" s="12">
        <v>112770</v>
      </c>
      <c r="K697" s="12">
        <v>90.4</v>
      </c>
      <c r="L697" s="12">
        <v>5</v>
      </c>
      <c r="M697" s="12">
        <v>58</v>
      </c>
      <c r="N697" s="12">
        <v>62</v>
      </c>
      <c r="O697" s="12" t="s">
        <v>20</v>
      </c>
      <c r="P697" s="12">
        <v>6.61</v>
      </c>
      <c r="Q697" s="12" t="s">
        <v>23</v>
      </c>
    </row>
    <row r="698" spans="1:17" x14ac:dyDescent="0.3">
      <c r="A698" s="12" t="s">
        <v>1463</v>
      </c>
      <c r="B698" s="12" t="s">
        <v>1464</v>
      </c>
      <c r="C698" s="12" t="s">
        <v>19</v>
      </c>
      <c r="D698" s="12">
        <v>47</v>
      </c>
      <c r="E698" s="12" t="s">
        <v>69</v>
      </c>
      <c r="F698" s="12" t="s">
        <v>13</v>
      </c>
      <c r="G698" s="12" t="s">
        <v>66</v>
      </c>
      <c r="H698" s="12" t="s">
        <v>86</v>
      </c>
      <c r="I698" s="12">
        <v>13</v>
      </c>
      <c r="J698" s="12">
        <v>78328</v>
      </c>
      <c r="K698" s="12">
        <v>94.23</v>
      </c>
      <c r="L698" s="12">
        <v>19</v>
      </c>
      <c r="M698" s="12">
        <v>50</v>
      </c>
      <c r="N698" s="12">
        <v>56</v>
      </c>
      <c r="O698" s="12" t="s">
        <v>21</v>
      </c>
      <c r="P698" s="12">
        <v>8.0399999999999991</v>
      </c>
      <c r="Q698" s="12" t="s">
        <v>23</v>
      </c>
    </row>
    <row r="699" spans="1:17" x14ac:dyDescent="0.3">
      <c r="A699" s="12" t="s">
        <v>1465</v>
      </c>
      <c r="B699" s="12" t="s">
        <v>1466</v>
      </c>
      <c r="C699" s="12" t="s">
        <v>18</v>
      </c>
      <c r="D699" s="12">
        <v>22</v>
      </c>
      <c r="E699" s="12" t="s">
        <v>65</v>
      </c>
      <c r="F699" s="12" t="s">
        <v>16</v>
      </c>
      <c r="G699" s="12" t="s">
        <v>181</v>
      </c>
      <c r="H699" s="12" t="s">
        <v>62</v>
      </c>
      <c r="I699" s="12">
        <v>0</v>
      </c>
      <c r="J699" s="12">
        <v>100800</v>
      </c>
      <c r="K699" s="12">
        <v>70.260000000000005</v>
      </c>
      <c r="L699" s="12">
        <v>12</v>
      </c>
      <c r="M699" s="12">
        <v>28</v>
      </c>
      <c r="N699" s="12">
        <v>64</v>
      </c>
      <c r="O699" s="12" t="s">
        <v>20</v>
      </c>
      <c r="P699" s="12">
        <v>7.57</v>
      </c>
      <c r="Q699" s="12" t="s">
        <v>23</v>
      </c>
    </row>
    <row r="700" spans="1:17" x14ac:dyDescent="0.3">
      <c r="A700" s="12" t="s">
        <v>1467</v>
      </c>
      <c r="B700" s="12" t="s">
        <v>1468</v>
      </c>
      <c r="C700" s="12" t="s">
        <v>19</v>
      </c>
      <c r="D700" s="12">
        <v>28</v>
      </c>
      <c r="E700" s="12" t="s">
        <v>55</v>
      </c>
      <c r="F700" s="12" t="s">
        <v>15</v>
      </c>
      <c r="G700" s="12" t="s">
        <v>73</v>
      </c>
      <c r="H700" s="12" t="s">
        <v>77</v>
      </c>
      <c r="I700" s="12">
        <v>4</v>
      </c>
      <c r="J700" s="12">
        <v>128046</v>
      </c>
      <c r="K700" s="12">
        <v>94.7</v>
      </c>
      <c r="L700" s="12">
        <v>15</v>
      </c>
      <c r="M700" s="12">
        <v>54</v>
      </c>
      <c r="N700" s="12">
        <v>69</v>
      </c>
      <c r="O700" s="12" t="s">
        <v>22</v>
      </c>
      <c r="P700" s="12">
        <v>7.55</v>
      </c>
      <c r="Q700" s="12" t="s">
        <v>23</v>
      </c>
    </row>
    <row r="701" spans="1:17" x14ac:dyDescent="0.3">
      <c r="A701" s="12" t="s">
        <v>1469</v>
      </c>
      <c r="B701" s="12" t="s">
        <v>1470</v>
      </c>
      <c r="C701" s="12" t="s">
        <v>18</v>
      </c>
      <c r="D701" s="12">
        <v>48</v>
      </c>
      <c r="E701" s="12" t="s">
        <v>80</v>
      </c>
      <c r="F701" s="12" t="s">
        <v>16</v>
      </c>
      <c r="G701" s="12" t="s">
        <v>271</v>
      </c>
      <c r="H701" s="12" t="s">
        <v>57</v>
      </c>
      <c r="I701" s="12">
        <v>17</v>
      </c>
      <c r="J701" s="12">
        <v>100055</v>
      </c>
      <c r="K701" s="12">
        <v>79.64</v>
      </c>
      <c r="L701" s="12">
        <v>16</v>
      </c>
      <c r="M701" s="12">
        <v>29</v>
      </c>
      <c r="N701" s="12">
        <v>120</v>
      </c>
      <c r="O701" s="12" t="s">
        <v>21</v>
      </c>
      <c r="P701" s="12">
        <v>9.68</v>
      </c>
      <c r="Q701" s="12" t="s">
        <v>24</v>
      </c>
    </row>
    <row r="702" spans="1:17" x14ac:dyDescent="0.3">
      <c r="A702" s="12" t="s">
        <v>1471</v>
      </c>
      <c r="B702" s="12" t="s">
        <v>1472</v>
      </c>
      <c r="C702" s="12" t="s">
        <v>18</v>
      </c>
      <c r="D702" s="12">
        <v>50</v>
      </c>
      <c r="E702" s="12" t="s">
        <v>65</v>
      </c>
      <c r="F702" s="12" t="s">
        <v>14</v>
      </c>
      <c r="G702" s="12" t="s">
        <v>85</v>
      </c>
      <c r="H702" s="12" t="s">
        <v>62</v>
      </c>
      <c r="I702" s="12">
        <v>5</v>
      </c>
      <c r="J702" s="12">
        <v>153088</v>
      </c>
      <c r="K702" s="12">
        <v>77.42</v>
      </c>
      <c r="L702" s="12">
        <v>17</v>
      </c>
      <c r="M702" s="12">
        <v>43</v>
      </c>
      <c r="N702" s="12">
        <v>16</v>
      </c>
      <c r="O702" s="12" t="s">
        <v>20</v>
      </c>
      <c r="P702" s="12">
        <v>6.98</v>
      </c>
      <c r="Q702" s="12" t="s">
        <v>23</v>
      </c>
    </row>
    <row r="703" spans="1:17" x14ac:dyDescent="0.3">
      <c r="A703" s="12" t="s">
        <v>1473</v>
      </c>
      <c r="B703" s="12" t="s">
        <v>1474</v>
      </c>
      <c r="C703" s="12" t="s">
        <v>18</v>
      </c>
      <c r="D703" s="12">
        <v>44</v>
      </c>
      <c r="E703" s="12" t="s">
        <v>91</v>
      </c>
      <c r="F703" s="12" t="s">
        <v>13</v>
      </c>
      <c r="G703" s="12" t="s">
        <v>66</v>
      </c>
      <c r="H703" s="12" t="s">
        <v>86</v>
      </c>
      <c r="I703" s="12">
        <v>0</v>
      </c>
      <c r="J703" s="12">
        <v>94343</v>
      </c>
      <c r="K703" s="12">
        <v>72.540000000000006</v>
      </c>
      <c r="L703" s="12">
        <v>6</v>
      </c>
      <c r="M703" s="12">
        <v>2</v>
      </c>
      <c r="N703" s="12">
        <v>100</v>
      </c>
      <c r="O703" s="12" t="s">
        <v>21</v>
      </c>
      <c r="P703" s="12">
        <v>6.81</v>
      </c>
      <c r="Q703" s="12" t="s">
        <v>23</v>
      </c>
    </row>
    <row r="704" spans="1:17" x14ac:dyDescent="0.3">
      <c r="A704" s="12" t="s">
        <v>1475</v>
      </c>
      <c r="B704" s="12" t="s">
        <v>1476</v>
      </c>
      <c r="C704" s="12" t="s">
        <v>18</v>
      </c>
      <c r="D704" s="12">
        <v>56</v>
      </c>
      <c r="E704" s="12" t="s">
        <v>80</v>
      </c>
      <c r="F704" s="12" t="s">
        <v>17</v>
      </c>
      <c r="G704" s="12" t="s">
        <v>102</v>
      </c>
      <c r="H704" s="12" t="s">
        <v>86</v>
      </c>
      <c r="I704" s="12">
        <v>32</v>
      </c>
      <c r="J704" s="12">
        <v>131707</v>
      </c>
      <c r="K704" s="12">
        <v>66.67</v>
      </c>
      <c r="L704" s="12">
        <v>10</v>
      </c>
      <c r="M704" s="12">
        <v>59</v>
      </c>
      <c r="N704" s="12">
        <v>112</v>
      </c>
      <c r="O704" s="12" t="s">
        <v>21</v>
      </c>
      <c r="P704" s="12">
        <v>8.3699999999999992</v>
      </c>
      <c r="Q704" s="12" t="s">
        <v>23</v>
      </c>
    </row>
    <row r="705" spans="1:17" x14ac:dyDescent="0.3">
      <c r="A705" s="12" t="s">
        <v>1477</v>
      </c>
      <c r="B705" s="12" t="s">
        <v>1478</v>
      </c>
      <c r="C705" s="12" t="s">
        <v>18</v>
      </c>
      <c r="D705" s="12">
        <v>22</v>
      </c>
      <c r="E705" s="12" t="s">
        <v>91</v>
      </c>
      <c r="F705" s="12" t="s">
        <v>12</v>
      </c>
      <c r="G705" s="12" t="s">
        <v>152</v>
      </c>
      <c r="H705" s="12" t="s">
        <v>77</v>
      </c>
      <c r="I705" s="12">
        <v>1</v>
      </c>
      <c r="J705" s="12">
        <v>77440</v>
      </c>
      <c r="K705" s="12">
        <v>69.55</v>
      </c>
      <c r="L705" s="12">
        <v>1</v>
      </c>
      <c r="M705" s="12">
        <v>45</v>
      </c>
      <c r="N705" s="12">
        <v>26</v>
      </c>
      <c r="O705" s="12" t="s">
        <v>20</v>
      </c>
      <c r="P705" s="12">
        <v>3.69</v>
      </c>
      <c r="Q705" s="12" t="s">
        <v>23</v>
      </c>
    </row>
    <row r="706" spans="1:17" x14ac:dyDescent="0.3">
      <c r="A706" s="12" t="s">
        <v>1479</v>
      </c>
      <c r="B706" s="12" t="s">
        <v>1480</v>
      </c>
      <c r="C706" s="12" t="s">
        <v>18</v>
      </c>
      <c r="D706" s="12">
        <v>53</v>
      </c>
      <c r="E706" s="12" t="s">
        <v>91</v>
      </c>
      <c r="F706" s="12" t="s">
        <v>13</v>
      </c>
      <c r="G706" s="12" t="s">
        <v>56</v>
      </c>
      <c r="H706" s="12" t="s">
        <v>57</v>
      </c>
      <c r="I706" s="12">
        <v>13</v>
      </c>
      <c r="J706" s="12">
        <v>40214</v>
      </c>
      <c r="K706" s="12">
        <v>70.319999999999993</v>
      </c>
      <c r="L706" s="12">
        <v>9</v>
      </c>
      <c r="M706" s="12">
        <v>41</v>
      </c>
      <c r="N706" s="12">
        <v>67</v>
      </c>
      <c r="O706" s="12" t="s">
        <v>20</v>
      </c>
      <c r="P706" s="12">
        <v>7.19</v>
      </c>
      <c r="Q706" s="12" t="s">
        <v>23</v>
      </c>
    </row>
    <row r="707" spans="1:17" x14ac:dyDescent="0.3">
      <c r="A707" s="12" t="s">
        <v>1481</v>
      </c>
      <c r="B707" s="12" t="s">
        <v>1482</v>
      </c>
      <c r="C707" s="12" t="s">
        <v>19</v>
      </c>
      <c r="D707" s="12">
        <v>56</v>
      </c>
      <c r="E707" s="12" t="s">
        <v>60</v>
      </c>
      <c r="F707" s="12" t="s">
        <v>14</v>
      </c>
      <c r="G707" s="12" t="s">
        <v>110</v>
      </c>
      <c r="H707" s="12" t="s">
        <v>57</v>
      </c>
      <c r="I707" s="12">
        <v>2</v>
      </c>
      <c r="J707" s="12">
        <v>150372</v>
      </c>
      <c r="K707" s="12">
        <v>89.64</v>
      </c>
      <c r="L707" s="12">
        <v>7</v>
      </c>
      <c r="M707" s="12">
        <v>32</v>
      </c>
      <c r="N707" s="12">
        <v>101</v>
      </c>
      <c r="O707" s="12" t="s">
        <v>22</v>
      </c>
      <c r="P707" s="12">
        <v>7.11</v>
      </c>
      <c r="Q707" s="12" t="s">
        <v>23</v>
      </c>
    </row>
    <row r="708" spans="1:17" x14ac:dyDescent="0.3">
      <c r="A708" s="12" t="s">
        <v>1483</v>
      </c>
      <c r="B708" s="12" t="s">
        <v>1484</v>
      </c>
      <c r="C708" s="12" t="s">
        <v>18</v>
      </c>
      <c r="D708" s="12">
        <v>47</v>
      </c>
      <c r="E708" s="12" t="s">
        <v>65</v>
      </c>
      <c r="F708" s="12" t="s">
        <v>16</v>
      </c>
      <c r="G708" s="12" t="s">
        <v>76</v>
      </c>
      <c r="H708" s="12" t="s">
        <v>86</v>
      </c>
      <c r="I708" s="12">
        <v>1</v>
      </c>
      <c r="J708" s="12">
        <v>86466</v>
      </c>
      <c r="K708" s="12">
        <v>79.150000000000006</v>
      </c>
      <c r="L708" s="12">
        <v>2</v>
      </c>
      <c r="M708" s="12">
        <v>43</v>
      </c>
      <c r="N708" s="12">
        <v>70</v>
      </c>
      <c r="O708" s="12" t="s">
        <v>22</v>
      </c>
      <c r="P708" s="12">
        <v>6.06</v>
      </c>
      <c r="Q708" s="12" t="s">
        <v>23</v>
      </c>
    </row>
    <row r="709" spans="1:17" x14ac:dyDescent="0.3">
      <c r="A709" s="12" t="s">
        <v>1485</v>
      </c>
      <c r="B709" s="12" t="s">
        <v>1486</v>
      </c>
      <c r="C709" s="12" t="s">
        <v>19</v>
      </c>
      <c r="D709" s="12">
        <v>40</v>
      </c>
      <c r="E709" s="12" t="s">
        <v>69</v>
      </c>
      <c r="F709" s="12" t="s">
        <v>15</v>
      </c>
      <c r="G709" s="12" t="s">
        <v>73</v>
      </c>
      <c r="H709" s="12" t="s">
        <v>86</v>
      </c>
      <c r="I709" s="12">
        <v>13</v>
      </c>
      <c r="J709" s="12">
        <v>117734</v>
      </c>
      <c r="K709" s="12">
        <v>78.31</v>
      </c>
      <c r="L709" s="12">
        <v>15</v>
      </c>
      <c r="M709" s="12">
        <v>38</v>
      </c>
      <c r="N709" s="12">
        <v>109</v>
      </c>
      <c r="O709" s="12" t="s">
        <v>21</v>
      </c>
      <c r="P709" s="12">
        <v>9.4</v>
      </c>
      <c r="Q709" s="12" t="s">
        <v>24</v>
      </c>
    </row>
    <row r="710" spans="1:17" x14ac:dyDescent="0.3">
      <c r="A710" s="12" t="s">
        <v>1487</v>
      </c>
      <c r="B710" s="12" t="s">
        <v>1488</v>
      </c>
      <c r="C710" s="12" t="s">
        <v>18</v>
      </c>
      <c r="D710" s="12">
        <v>49</v>
      </c>
      <c r="E710" s="12" t="s">
        <v>60</v>
      </c>
      <c r="F710" s="12" t="s">
        <v>14</v>
      </c>
      <c r="G710" s="12" t="s">
        <v>110</v>
      </c>
      <c r="H710" s="12" t="s">
        <v>57</v>
      </c>
      <c r="I710" s="12">
        <v>24</v>
      </c>
      <c r="J710" s="12">
        <v>85815</v>
      </c>
      <c r="K710" s="12">
        <v>95.77</v>
      </c>
      <c r="L710" s="12">
        <v>17</v>
      </c>
      <c r="M710" s="12">
        <v>21</v>
      </c>
      <c r="N710" s="12">
        <v>20</v>
      </c>
      <c r="O710" s="12" t="s">
        <v>20</v>
      </c>
      <c r="P710" s="12">
        <v>9.3800000000000008</v>
      </c>
      <c r="Q710" s="12" t="s">
        <v>24</v>
      </c>
    </row>
    <row r="711" spans="1:17" x14ac:dyDescent="0.3">
      <c r="A711" s="12" t="s">
        <v>1489</v>
      </c>
      <c r="B711" s="12" t="s">
        <v>1490</v>
      </c>
      <c r="C711" s="12" t="s">
        <v>19</v>
      </c>
      <c r="D711" s="12">
        <v>45</v>
      </c>
      <c r="E711" s="12" t="s">
        <v>69</v>
      </c>
      <c r="F711" s="12" t="s">
        <v>17</v>
      </c>
      <c r="G711" s="12" t="s">
        <v>99</v>
      </c>
      <c r="H711" s="12" t="s">
        <v>57</v>
      </c>
      <c r="I711" s="12">
        <v>24</v>
      </c>
      <c r="J711" s="12">
        <v>139382</v>
      </c>
      <c r="K711" s="12">
        <v>78.25</v>
      </c>
      <c r="L711" s="12">
        <v>3</v>
      </c>
      <c r="M711" s="12">
        <v>58</v>
      </c>
      <c r="N711" s="12">
        <v>34</v>
      </c>
      <c r="O711" s="12" t="s">
        <v>22</v>
      </c>
      <c r="P711" s="12">
        <v>6.53</v>
      </c>
      <c r="Q711" s="12" t="s">
        <v>23</v>
      </c>
    </row>
    <row r="712" spans="1:17" x14ac:dyDescent="0.3">
      <c r="A712" s="12" t="s">
        <v>1491</v>
      </c>
      <c r="B712" s="12" t="s">
        <v>1492</v>
      </c>
      <c r="C712" s="12" t="s">
        <v>18</v>
      </c>
      <c r="D712" s="12">
        <v>38</v>
      </c>
      <c r="E712" s="12" t="s">
        <v>80</v>
      </c>
      <c r="F712" s="12" t="s">
        <v>13</v>
      </c>
      <c r="G712" s="12" t="s">
        <v>107</v>
      </c>
      <c r="H712" s="12" t="s">
        <v>86</v>
      </c>
      <c r="I712" s="12">
        <v>2</v>
      </c>
      <c r="J712" s="12">
        <v>69151</v>
      </c>
      <c r="K712" s="12">
        <v>92.09</v>
      </c>
      <c r="L712" s="12">
        <v>6</v>
      </c>
      <c r="M712" s="12">
        <v>49</v>
      </c>
      <c r="N712" s="12">
        <v>56</v>
      </c>
      <c r="O712" s="12" t="s">
        <v>21</v>
      </c>
      <c r="P712" s="12">
        <v>6.68</v>
      </c>
      <c r="Q712" s="12" t="s">
        <v>23</v>
      </c>
    </row>
    <row r="713" spans="1:17" x14ac:dyDescent="0.3">
      <c r="A713" s="12" t="s">
        <v>1493</v>
      </c>
      <c r="B713" s="12" t="s">
        <v>1494</v>
      </c>
      <c r="C713" s="12" t="s">
        <v>18</v>
      </c>
      <c r="D713" s="12">
        <v>56</v>
      </c>
      <c r="E713" s="12" t="s">
        <v>65</v>
      </c>
      <c r="F713" s="12" t="s">
        <v>15</v>
      </c>
      <c r="G713" s="12" t="s">
        <v>61</v>
      </c>
      <c r="H713" s="12" t="s">
        <v>77</v>
      </c>
      <c r="I713" s="12">
        <v>11</v>
      </c>
      <c r="J713" s="12">
        <v>104895</v>
      </c>
      <c r="K713" s="12">
        <v>84.63</v>
      </c>
      <c r="L713" s="12">
        <v>4</v>
      </c>
      <c r="M713" s="12">
        <v>56</v>
      </c>
      <c r="N713" s="12">
        <v>20</v>
      </c>
      <c r="O713" s="12" t="s">
        <v>20</v>
      </c>
      <c r="P713" s="12">
        <v>6.36</v>
      </c>
      <c r="Q713" s="12" t="s">
        <v>23</v>
      </c>
    </row>
    <row r="714" spans="1:17" x14ac:dyDescent="0.3">
      <c r="A714" s="12" t="s">
        <v>1495</v>
      </c>
      <c r="B714" s="12" t="s">
        <v>1496</v>
      </c>
      <c r="C714" s="12" t="s">
        <v>18</v>
      </c>
      <c r="D714" s="12">
        <v>44</v>
      </c>
      <c r="E714" s="12" t="s">
        <v>55</v>
      </c>
      <c r="F714" s="12" t="s">
        <v>14</v>
      </c>
      <c r="G714" s="12" t="s">
        <v>248</v>
      </c>
      <c r="H714" s="12" t="s">
        <v>62</v>
      </c>
      <c r="I714" s="12">
        <v>5</v>
      </c>
      <c r="J714" s="12">
        <v>65483</v>
      </c>
      <c r="K714" s="12">
        <v>75.56</v>
      </c>
      <c r="L714" s="12">
        <v>1</v>
      </c>
      <c r="M714" s="12">
        <v>19</v>
      </c>
      <c r="N714" s="12">
        <v>107</v>
      </c>
      <c r="O714" s="12" t="s">
        <v>20</v>
      </c>
      <c r="P714" s="12">
        <v>6.09</v>
      </c>
      <c r="Q714" s="12" t="s">
        <v>23</v>
      </c>
    </row>
    <row r="715" spans="1:17" x14ac:dyDescent="0.3">
      <c r="A715" s="12" t="s">
        <v>1497</v>
      </c>
      <c r="B715" s="12" t="s">
        <v>1498</v>
      </c>
      <c r="C715" s="12" t="s">
        <v>19</v>
      </c>
      <c r="D715" s="12">
        <v>37</v>
      </c>
      <c r="E715" s="12" t="s">
        <v>60</v>
      </c>
      <c r="F715" s="12" t="s">
        <v>13</v>
      </c>
      <c r="G715" s="12" t="s">
        <v>107</v>
      </c>
      <c r="H715" s="12" t="s">
        <v>62</v>
      </c>
      <c r="I715" s="12">
        <v>10</v>
      </c>
      <c r="J715" s="12">
        <v>82439</v>
      </c>
      <c r="K715" s="12">
        <v>88.99</v>
      </c>
      <c r="L715" s="12">
        <v>13</v>
      </c>
      <c r="M715" s="12">
        <v>25</v>
      </c>
      <c r="N715" s="12">
        <v>31</v>
      </c>
      <c r="O715" s="12" t="s">
        <v>20</v>
      </c>
      <c r="P715" s="12">
        <v>7.09</v>
      </c>
      <c r="Q715" s="12" t="s">
        <v>23</v>
      </c>
    </row>
    <row r="716" spans="1:17" x14ac:dyDescent="0.3">
      <c r="A716" s="12" t="s">
        <v>1499</v>
      </c>
      <c r="B716" s="12" t="s">
        <v>1500</v>
      </c>
      <c r="C716" s="12" t="s">
        <v>18</v>
      </c>
      <c r="D716" s="12">
        <v>44</v>
      </c>
      <c r="E716" s="12" t="s">
        <v>55</v>
      </c>
      <c r="F716" s="12" t="s">
        <v>13</v>
      </c>
      <c r="G716" s="12" t="s">
        <v>66</v>
      </c>
      <c r="H716" s="12" t="s">
        <v>62</v>
      </c>
      <c r="I716" s="12">
        <v>18</v>
      </c>
      <c r="J716" s="12">
        <v>73231</v>
      </c>
      <c r="K716" s="12">
        <v>70.5</v>
      </c>
      <c r="L716" s="12">
        <v>10</v>
      </c>
      <c r="M716" s="12">
        <v>2</v>
      </c>
      <c r="N716" s="12">
        <v>91</v>
      </c>
      <c r="O716" s="12" t="s">
        <v>21</v>
      </c>
      <c r="P716" s="12">
        <v>7.83</v>
      </c>
      <c r="Q716" s="12" t="s">
        <v>23</v>
      </c>
    </row>
    <row r="717" spans="1:17" x14ac:dyDescent="0.3">
      <c r="A717" s="12" t="s">
        <v>1501</v>
      </c>
      <c r="B717" s="12" t="s">
        <v>1502</v>
      </c>
      <c r="C717" s="12" t="s">
        <v>18</v>
      </c>
      <c r="D717" s="12">
        <v>42</v>
      </c>
      <c r="E717" s="12" t="s">
        <v>55</v>
      </c>
      <c r="F717" s="12" t="s">
        <v>14</v>
      </c>
      <c r="G717" s="12" t="s">
        <v>248</v>
      </c>
      <c r="H717" s="12" t="s">
        <v>77</v>
      </c>
      <c r="I717" s="12">
        <v>4</v>
      </c>
      <c r="J717" s="12">
        <v>80904</v>
      </c>
      <c r="K717" s="12">
        <v>73.52</v>
      </c>
      <c r="L717" s="12">
        <v>16</v>
      </c>
      <c r="M717" s="12">
        <v>18</v>
      </c>
      <c r="N717" s="12">
        <v>107</v>
      </c>
      <c r="O717" s="12" t="s">
        <v>20</v>
      </c>
      <c r="P717" s="12">
        <v>9.16</v>
      </c>
      <c r="Q717" s="12" t="s">
        <v>24</v>
      </c>
    </row>
    <row r="718" spans="1:17" x14ac:dyDescent="0.3">
      <c r="A718" s="12" t="s">
        <v>1503</v>
      </c>
      <c r="B718" s="12" t="s">
        <v>1504</v>
      </c>
      <c r="C718" s="12" t="s">
        <v>18</v>
      </c>
      <c r="D718" s="12">
        <v>54</v>
      </c>
      <c r="E718" s="12" t="s">
        <v>91</v>
      </c>
      <c r="F718" s="12" t="s">
        <v>13</v>
      </c>
      <c r="G718" s="12" t="s">
        <v>56</v>
      </c>
      <c r="H718" s="12" t="s">
        <v>77</v>
      </c>
      <c r="I718" s="12">
        <v>33</v>
      </c>
      <c r="J718" s="12">
        <v>42822</v>
      </c>
      <c r="K718" s="12">
        <v>70.66</v>
      </c>
      <c r="L718" s="12">
        <v>17</v>
      </c>
      <c r="M718" s="12">
        <v>0</v>
      </c>
      <c r="N718" s="12">
        <v>59</v>
      </c>
      <c r="O718" s="12" t="s">
        <v>21</v>
      </c>
      <c r="P718" s="12">
        <v>10</v>
      </c>
      <c r="Q718" s="12" t="s">
        <v>24</v>
      </c>
    </row>
    <row r="719" spans="1:17" x14ac:dyDescent="0.3">
      <c r="A719" s="12" t="s">
        <v>1505</v>
      </c>
      <c r="B719" s="12" t="s">
        <v>1506</v>
      </c>
      <c r="C719" s="12" t="s">
        <v>18</v>
      </c>
      <c r="D719" s="12">
        <v>39</v>
      </c>
      <c r="E719" s="12" t="s">
        <v>69</v>
      </c>
      <c r="F719" s="12" t="s">
        <v>16</v>
      </c>
      <c r="G719" s="12" t="s">
        <v>181</v>
      </c>
      <c r="H719" s="12" t="s">
        <v>57</v>
      </c>
      <c r="I719" s="12">
        <v>0</v>
      </c>
      <c r="J719" s="12">
        <v>41902</v>
      </c>
      <c r="K719" s="12">
        <v>65.510000000000005</v>
      </c>
      <c r="L719" s="12">
        <v>2</v>
      </c>
      <c r="M719" s="12">
        <v>57</v>
      </c>
      <c r="N719" s="12">
        <v>117</v>
      </c>
      <c r="O719" s="12" t="s">
        <v>20</v>
      </c>
      <c r="P719" s="12">
        <v>4.74</v>
      </c>
      <c r="Q719" s="12" t="s">
        <v>23</v>
      </c>
    </row>
    <row r="720" spans="1:17" x14ac:dyDescent="0.3">
      <c r="A720" s="12" t="s">
        <v>1507</v>
      </c>
      <c r="B720" s="12" t="s">
        <v>1508</v>
      </c>
      <c r="C720" s="12" t="s">
        <v>19</v>
      </c>
      <c r="D720" s="12">
        <v>55</v>
      </c>
      <c r="E720" s="12" t="s">
        <v>55</v>
      </c>
      <c r="F720" s="12" t="s">
        <v>14</v>
      </c>
      <c r="G720" s="12" t="s">
        <v>248</v>
      </c>
      <c r="H720" s="12" t="s">
        <v>86</v>
      </c>
      <c r="I720" s="12">
        <v>10</v>
      </c>
      <c r="J720" s="12">
        <v>164091</v>
      </c>
      <c r="K720" s="12">
        <v>70.39</v>
      </c>
      <c r="L720" s="12">
        <v>13</v>
      </c>
      <c r="M720" s="12">
        <v>4</v>
      </c>
      <c r="N720" s="12">
        <v>109</v>
      </c>
      <c r="O720" s="12" t="s">
        <v>21</v>
      </c>
      <c r="P720" s="12">
        <v>8.15</v>
      </c>
      <c r="Q720" s="12" t="s">
        <v>23</v>
      </c>
    </row>
    <row r="721" spans="1:17" x14ac:dyDescent="0.3">
      <c r="A721" s="12" t="s">
        <v>1509</v>
      </c>
      <c r="B721" s="12" t="s">
        <v>1510</v>
      </c>
      <c r="C721" s="12" t="s">
        <v>19</v>
      </c>
      <c r="D721" s="12">
        <v>35</v>
      </c>
      <c r="E721" s="12" t="s">
        <v>80</v>
      </c>
      <c r="F721" s="12" t="s">
        <v>13</v>
      </c>
      <c r="G721" s="12" t="s">
        <v>66</v>
      </c>
      <c r="H721" s="12" t="s">
        <v>62</v>
      </c>
      <c r="I721" s="12">
        <v>2</v>
      </c>
      <c r="J721" s="12">
        <v>90468</v>
      </c>
      <c r="K721" s="12">
        <v>74.11</v>
      </c>
      <c r="L721" s="12">
        <v>4</v>
      </c>
      <c r="M721" s="12">
        <v>39</v>
      </c>
      <c r="N721" s="12">
        <v>116</v>
      </c>
      <c r="O721" s="12" t="s">
        <v>20</v>
      </c>
      <c r="P721" s="12">
        <v>5.83</v>
      </c>
      <c r="Q721" s="12" t="s">
        <v>23</v>
      </c>
    </row>
    <row r="722" spans="1:17" x14ac:dyDescent="0.3">
      <c r="A722" s="12" t="s">
        <v>1511</v>
      </c>
      <c r="B722" s="12" t="s">
        <v>1512</v>
      </c>
      <c r="C722" s="12" t="s">
        <v>18</v>
      </c>
      <c r="D722" s="12">
        <v>54</v>
      </c>
      <c r="E722" s="12" t="s">
        <v>55</v>
      </c>
      <c r="F722" s="12" t="s">
        <v>13</v>
      </c>
      <c r="G722" s="12" t="s">
        <v>66</v>
      </c>
      <c r="H722" s="12" t="s">
        <v>77</v>
      </c>
      <c r="I722" s="12">
        <v>18</v>
      </c>
      <c r="J722" s="12">
        <v>52290</v>
      </c>
      <c r="K722" s="12">
        <v>66.19</v>
      </c>
      <c r="L722" s="12">
        <v>1</v>
      </c>
      <c r="M722" s="12">
        <v>12</v>
      </c>
      <c r="N722" s="12">
        <v>66</v>
      </c>
      <c r="O722" s="12" t="s">
        <v>20</v>
      </c>
      <c r="P722" s="12">
        <v>6.45</v>
      </c>
      <c r="Q722" s="12" t="s">
        <v>23</v>
      </c>
    </row>
    <row r="723" spans="1:17" x14ac:dyDescent="0.3">
      <c r="A723" s="12" t="s">
        <v>1513</v>
      </c>
      <c r="B723" s="12" t="s">
        <v>1514</v>
      </c>
      <c r="C723" s="12" t="s">
        <v>18</v>
      </c>
      <c r="D723" s="12">
        <v>45</v>
      </c>
      <c r="E723" s="12" t="s">
        <v>69</v>
      </c>
      <c r="F723" s="12" t="s">
        <v>12</v>
      </c>
      <c r="G723" s="12" t="s">
        <v>119</v>
      </c>
      <c r="H723" s="12" t="s">
        <v>86</v>
      </c>
      <c r="I723" s="12">
        <v>7</v>
      </c>
      <c r="J723" s="12">
        <v>109428</v>
      </c>
      <c r="K723" s="12">
        <v>72.930000000000007</v>
      </c>
      <c r="L723" s="12">
        <v>13</v>
      </c>
      <c r="M723" s="12">
        <v>47</v>
      </c>
      <c r="N723" s="12">
        <v>17</v>
      </c>
      <c r="O723" s="12" t="s">
        <v>21</v>
      </c>
      <c r="P723" s="12">
        <v>6.95</v>
      </c>
      <c r="Q723" s="12" t="s">
        <v>23</v>
      </c>
    </row>
    <row r="724" spans="1:17" x14ac:dyDescent="0.3">
      <c r="A724" s="12" t="s">
        <v>1515</v>
      </c>
      <c r="B724" s="12" t="s">
        <v>784</v>
      </c>
      <c r="C724" s="12" t="s">
        <v>18</v>
      </c>
      <c r="D724" s="12">
        <v>44</v>
      </c>
      <c r="E724" s="12" t="s">
        <v>55</v>
      </c>
      <c r="F724" s="12" t="s">
        <v>13</v>
      </c>
      <c r="G724" s="12" t="s">
        <v>56</v>
      </c>
      <c r="H724" s="12" t="s">
        <v>62</v>
      </c>
      <c r="I724" s="12">
        <v>12</v>
      </c>
      <c r="J724" s="12">
        <v>76696</v>
      </c>
      <c r="K724" s="12">
        <v>90.15</v>
      </c>
      <c r="L724" s="12">
        <v>11</v>
      </c>
      <c r="M724" s="12">
        <v>49</v>
      </c>
      <c r="N724" s="12">
        <v>61</v>
      </c>
      <c r="O724" s="12" t="s">
        <v>20</v>
      </c>
      <c r="P724" s="12">
        <v>6.69</v>
      </c>
      <c r="Q724" s="12" t="s">
        <v>23</v>
      </c>
    </row>
    <row r="725" spans="1:17" x14ac:dyDescent="0.3">
      <c r="A725" s="12" t="s">
        <v>1516</v>
      </c>
      <c r="B725" s="12" t="s">
        <v>1517</v>
      </c>
      <c r="C725" s="12" t="s">
        <v>19</v>
      </c>
      <c r="D725" s="12">
        <v>35</v>
      </c>
      <c r="E725" s="12" t="s">
        <v>55</v>
      </c>
      <c r="F725" s="12" t="s">
        <v>16</v>
      </c>
      <c r="G725" s="12" t="s">
        <v>271</v>
      </c>
      <c r="H725" s="12" t="s">
        <v>57</v>
      </c>
      <c r="I725" s="12">
        <v>8</v>
      </c>
      <c r="J725" s="12">
        <v>57465</v>
      </c>
      <c r="K725" s="12">
        <v>82.6</v>
      </c>
      <c r="L725" s="12">
        <v>9</v>
      </c>
      <c r="M725" s="12">
        <v>3</v>
      </c>
      <c r="N725" s="12">
        <v>89</v>
      </c>
      <c r="O725" s="12" t="s">
        <v>21</v>
      </c>
      <c r="P725" s="12">
        <v>8.76</v>
      </c>
      <c r="Q725" s="12" t="s">
        <v>24</v>
      </c>
    </row>
    <row r="726" spans="1:17" x14ac:dyDescent="0.3">
      <c r="A726" s="12" t="s">
        <v>1518</v>
      </c>
      <c r="B726" s="12" t="s">
        <v>1519</v>
      </c>
      <c r="C726" s="12" t="s">
        <v>19</v>
      </c>
      <c r="D726" s="12">
        <v>50</v>
      </c>
      <c r="E726" s="12" t="s">
        <v>55</v>
      </c>
      <c r="F726" s="12" t="s">
        <v>15</v>
      </c>
      <c r="G726" s="12" t="s">
        <v>61</v>
      </c>
      <c r="H726" s="12" t="s">
        <v>77</v>
      </c>
      <c r="I726" s="12">
        <v>9</v>
      </c>
      <c r="J726" s="12">
        <v>102690</v>
      </c>
      <c r="K726" s="12">
        <v>87.34</v>
      </c>
      <c r="L726" s="12">
        <v>8</v>
      </c>
      <c r="M726" s="12">
        <v>25</v>
      </c>
      <c r="N726" s="12">
        <v>95</v>
      </c>
      <c r="O726" s="12" t="s">
        <v>21</v>
      </c>
      <c r="P726" s="12">
        <v>7.17</v>
      </c>
      <c r="Q726" s="12" t="s">
        <v>23</v>
      </c>
    </row>
    <row r="727" spans="1:17" x14ac:dyDescent="0.3">
      <c r="A727" s="12" t="s">
        <v>1520</v>
      </c>
      <c r="B727" s="12" t="s">
        <v>1521</v>
      </c>
      <c r="C727" s="12" t="s">
        <v>19</v>
      </c>
      <c r="D727" s="12">
        <v>49</v>
      </c>
      <c r="E727" s="12" t="s">
        <v>80</v>
      </c>
      <c r="F727" s="12" t="s">
        <v>14</v>
      </c>
      <c r="G727" s="12" t="s">
        <v>110</v>
      </c>
      <c r="H727" s="12" t="s">
        <v>86</v>
      </c>
      <c r="I727" s="12">
        <v>12</v>
      </c>
      <c r="J727" s="12">
        <v>116630</v>
      </c>
      <c r="K727" s="12">
        <v>91.71</v>
      </c>
      <c r="L727" s="12">
        <v>9</v>
      </c>
      <c r="M727" s="12">
        <v>60</v>
      </c>
      <c r="N727" s="12">
        <v>52</v>
      </c>
      <c r="O727" s="12" t="s">
        <v>22</v>
      </c>
      <c r="P727" s="12">
        <v>6.96</v>
      </c>
      <c r="Q727" s="12" t="s">
        <v>23</v>
      </c>
    </row>
    <row r="728" spans="1:17" x14ac:dyDescent="0.3">
      <c r="A728" s="12" t="s">
        <v>1522</v>
      </c>
      <c r="B728" s="12" t="s">
        <v>1523</v>
      </c>
      <c r="C728" s="12" t="s">
        <v>19</v>
      </c>
      <c r="D728" s="12">
        <v>50</v>
      </c>
      <c r="E728" s="12" t="s">
        <v>69</v>
      </c>
      <c r="F728" s="12" t="s">
        <v>14</v>
      </c>
      <c r="G728" s="12" t="s">
        <v>70</v>
      </c>
      <c r="H728" s="12" t="s">
        <v>77</v>
      </c>
      <c r="I728" s="12">
        <v>6</v>
      </c>
      <c r="J728" s="12">
        <v>110486</v>
      </c>
      <c r="K728" s="12">
        <v>85.43</v>
      </c>
      <c r="L728" s="12">
        <v>1</v>
      </c>
      <c r="M728" s="12">
        <v>31</v>
      </c>
      <c r="N728" s="12">
        <v>58</v>
      </c>
      <c r="O728" s="12" t="s">
        <v>22</v>
      </c>
      <c r="P728" s="12">
        <v>5.66</v>
      </c>
      <c r="Q728" s="12" t="s">
        <v>23</v>
      </c>
    </row>
    <row r="729" spans="1:17" x14ac:dyDescent="0.3">
      <c r="A729" s="12" t="s">
        <v>1524</v>
      </c>
      <c r="B729" s="12" t="s">
        <v>1525</v>
      </c>
      <c r="C729" s="12" t="s">
        <v>18</v>
      </c>
      <c r="D729" s="12">
        <v>22</v>
      </c>
      <c r="E729" s="12" t="s">
        <v>65</v>
      </c>
      <c r="F729" s="12" t="s">
        <v>12</v>
      </c>
      <c r="G729" s="12" t="s">
        <v>119</v>
      </c>
      <c r="H729" s="12" t="s">
        <v>62</v>
      </c>
      <c r="I729" s="12">
        <v>1</v>
      </c>
      <c r="J729" s="12">
        <v>89643</v>
      </c>
      <c r="K729" s="12">
        <v>71.63</v>
      </c>
      <c r="L729" s="12">
        <v>14</v>
      </c>
      <c r="M729" s="12">
        <v>47</v>
      </c>
      <c r="N729" s="12">
        <v>71</v>
      </c>
      <c r="O729" s="12" t="s">
        <v>22</v>
      </c>
      <c r="P729" s="12">
        <v>7.16</v>
      </c>
      <c r="Q729" s="12" t="s">
        <v>23</v>
      </c>
    </row>
    <row r="730" spans="1:17" x14ac:dyDescent="0.3">
      <c r="A730" s="12" t="s">
        <v>1526</v>
      </c>
      <c r="B730" s="12" t="s">
        <v>1527</v>
      </c>
      <c r="C730" s="12" t="s">
        <v>19</v>
      </c>
      <c r="D730" s="12">
        <v>47</v>
      </c>
      <c r="E730" s="12" t="s">
        <v>55</v>
      </c>
      <c r="F730" s="12" t="s">
        <v>15</v>
      </c>
      <c r="G730" s="12" t="s">
        <v>130</v>
      </c>
      <c r="H730" s="12" t="s">
        <v>77</v>
      </c>
      <c r="I730" s="12">
        <v>11</v>
      </c>
      <c r="J730" s="12">
        <v>69058</v>
      </c>
      <c r="K730" s="12">
        <v>93.55</v>
      </c>
      <c r="L730" s="12">
        <v>14</v>
      </c>
      <c r="M730" s="12">
        <v>51</v>
      </c>
      <c r="N730" s="12">
        <v>75</v>
      </c>
      <c r="O730" s="12" t="s">
        <v>21</v>
      </c>
      <c r="P730" s="12">
        <v>8.3800000000000008</v>
      </c>
      <c r="Q730" s="12" t="s">
        <v>23</v>
      </c>
    </row>
    <row r="731" spans="1:17" x14ac:dyDescent="0.3">
      <c r="A731" s="12" t="s">
        <v>1528</v>
      </c>
      <c r="B731" s="12" t="s">
        <v>1529</v>
      </c>
      <c r="C731" s="12" t="s">
        <v>18</v>
      </c>
      <c r="D731" s="12">
        <v>31</v>
      </c>
      <c r="E731" s="12" t="s">
        <v>91</v>
      </c>
      <c r="F731" s="12" t="s">
        <v>13</v>
      </c>
      <c r="G731" s="12" t="s">
        <v>107</v>
      </c>
      <c r="H731" s="12" t="s">
        <v>77</v>
      </c>
      <c r="I731" s="12">
        <v>2</v>
      </c>
      <c r="J731" s="12">
        <v>78913</v>
      </c>
      <c r="K731" s="12">
        <v>88.12</v>
      </c>
      <c r="L731" s="12">
        <v>12</v>
      </c>
      <c r="M731" s="12">
        <v>29</v>
      </c>
      <c r="N731" s="12">
        <v>40</v>
      </c>
      <c r="O731" s="12" t="s">
        <v>22</v>
      </c>
      <c r="P731" s="12">
        <v>6.58</v>
      </c>
      <c r="Q731" s="12" t="s">
        <v>23</v>
      </c>
    </row>
    <row r="732" spans="1:17" x14ac:dyDescent="0.3">
      <c r="A732" s="12" t="s">
        <v>1530</v>
      </c>
      <c r="B732" s="12" t="s">
        <v>1531</v>
      </c>
      <c r="C732" s="12" t="s">
        <v>18</v>
      </c>
      <c r="D732" s="12">
        <v>31</v>
      </c>
      <c r="E732" s="12" t="s">
        <v>55</v>
      </c>
      <c r="F732" s="12" t="s">
        <v>14</v>
      </c>
      <c r="G732" s="12" t="s">
        <v>70</v>
      </c>
      <c r="H732" s="12" t="s">
        <v>86</v>
      </c>
      <c r="I732" s="12">
        <v>2</v>
      </c>
      <c r="J732" s="12">
        <v>80232</v>
      </c>
      <c r="K732" s="12">
        <v>82.09</v>
      </c>
      <c r="L732" s="12">
        <v>10</v>
      </c>
      <c r="M732" s="12">
        <v>24</v>
      </c>
      <c r="N732" s="12">
        <v>62</v>
      </c>
      <c r="O732" s="12" t="s">
        <v>22</v>
      </c>
      <c r="P732" s="12">
        <v>6.2</v>
      </c>
      <c r="Q732" s="12" t="s">
        <v>23</v>
      </c>
    </row>
    <row r="733" spans="1:17" x14ac:dyDescent="0.3">
      <c r="A733" s="12" t="s">
        <v>1532</v>
      </c>
      <c r="B733" s="12" t="s">
        <v>1533</v>
      </c>
      <c r="C733" s="12" t="s">
        <v>19</v>
      </c>
      <c r="D733" s="12">
        <v>48</v>
      </c>
      <c r="E733" s="12" t="s">
        <v>60</v>
      </c>
      <c r="F733" s="12" t="s">
        <v>13</v>
      </c>
      <c r="G733" s="12" t="s">
        <v>107</v>
      </c>
      <c r="H733" s="12" t="s">
        <v>86</v>
      </c>
      <c r="I733" s="12">
        <v>15</v>
      </c>
      <c r="J733" s="12">
        <v>82460</v>
      </c>
      <c r="K733" s="12">
        <v>92.91</v>
      </c>
      <c r="L733" s="12">
        <v>15</v>
      </c>
      <c r="M733" s="12">
        <v>18</v>
      </c>
      <c r="N733" s="12">
        <v>59</v>
      </c>
      <c r="O733" s="12" t="s">
        <v>22</v>
      </c>
      <c r="P733" s="12">
        <v>7.81</v>
      </c>
      <c r="Q733" s="12" t="s">
        <v>23</v>
      </c>
    </row>
    <row r="734" spans="1:17" x14ac:dyDescent="0.3">
      <c r="A734" s="12" t="s">
        <v>1534</v>
      </c>
      <c r="B734" s="12" t="s">
        <v>1535</v>
      </c>
      <c r="C734" s="12" t="s">
        <v>19</v>
      </c>
      <c r="D734" s="12">
        <v>27</v>
      </c>
      <c r="E734" s="12" t="s">
        <v>60</v>
      </c>
      <c r="F734" s="12" t="s">
        <v>12</v>
      </c>
      <c r="G734" s="12" t="s">
        <v>152</v>
      </c>
      <c r="H734" s="12" t="s">
        <v>77</v>
      </c>
      <c r="I734" s="12">
        <v>4</v>
      </c>
      <c r="J734" s="12">
        <v>53120</v>
      </c>
      <c r="K734" s="12">
        <v>88.48</v>
      </c>
      <c r="L734" s="12">
        <v>20</v>
      </c>
      <c r="M734" s="12">
        <v>22</v>
      </c>
      <c r="N734" s="12">
        <v>37</v>
      </c>
      <c r="O734" s="12" t="s">
        <v>20</v>
      </c>
      <c r="P734" s="12">
        <v>7.29</v>
      </c>
      <c r="Q734" s="12" t="s">
        <v>23</v>
      </c>
    </row>
    <row r="735" spans="1:17" x14ac:dyDescent="0.3">
      <c r="A735" s="12" t="s">
        <v>1536</v>
      </c>
      <c r="B735" s="12" t="s">
        <v>1537</v>
      </c>
      <c r="C735" s="12" t="s">
        <v>18</v>
      </c>
      <c r="D735" s="12">
        <v>56</v>
      </c>
      <c r="E735" s="12" t="s">
        <v>60</v>
      </c>
      <c r="F735" s="12" t="s">
        <v>15</v>
      </c>
      <c r="G735" s="12" t="s">
        <v>130</v>
      </c>
      <c r="H735" s="12" t="s">
        <v>57</v>
      </c>
      <c r="I735" s="12">
        <v>22</v>
      </c>
      <c r="J735" s="12">
        <v>88505</v>
      </c>
      <c r="K735" s="12">
        <v>78.62</v>
      </c>
      <c r="L735" s="12">
        <v>8</v>
      </c>
      <c r="M735" s="12">
        <v>17</v>
      </c>
      <c r="N735" s="12">
        <v>119</v>
      </c>
      <c r="O735" s="12" t="s">
        <v>21</v>
      </c>
      <c r="P735" s="12">
        <v>8.1199999999999992</v>
      </c>
      <c r="Q735" s="12" t="s">
        <v>23</v>
      </c>
    </row>
    <row r="736" spans="1:17" x14ac:dyDescent="0.3">
      <c r="A736" s="12" t="s">
        <v>1538</v>
      </c>
      <c r="B736" s="12" t="s">
        <v>1539</v>
      </c>
      <c r="C736" s="12" t="s">
        <v>18</v>
      </c>
      <c r="D736" s="12">
        <v>54</v>
      </c>
      <c r="E736" s="12" t="s">
        <v>69</v>
      </c>
      <c r="F736" s="12" t="s">
        <v>13</v>
      </c>
      <c r="G736" s="12" t="s">
        <v>107</v>
      </c>
      <c r="H736" s="12" t="s">
        <v>62</v>
      </c>
      <c r="I736" s="12">
        <v>8</v>
      </c>
      <c r="J736" s="12">
        <v>84681</v>
      </c>
      <c r="K736" s="12">
        <v>87.48</v>
      </c>
      <c r="L736" s="12">
        <v>6</v>
      </c>
      <c r="M736" s="12">
        <v>60</v>
      </c>
      <c r="N736" s="12">
        <v>106</v>
      </c>
      <c r="O736" s="12" t="s">
        <v>22</v>
      </c>
      <c r="P736" s="12">
        <v>7.82</v>
      </c>
      <c r="Q736" s="12" t="s">
        <v>23</v>
      </c>
    </row>
    <row r="737" spans="1:17" x14ac:dyDescent="0.3">
      <c r="A737" s="12" t="s">
        <v>1540</v>
      </c>
      <c r="B737" s="12" t="s">
        <v>1541</v>
      </c>
      <c r="C737" s="12" t="s">
        <v>19</v>
      </c>
      <c r="D737" s="12">
        <v>50</v>
      </c>
      <c r="E737" s="12" t="s">
        <v>55</v>
      </c>
      <c r="F737" s="12" t="s">
        <v>17</v>
      </c>
      <c r="G737" s="12" t="s">
        <v>135</v>
      </c>
      <c r="H737" s="12" t="s">
        <v>86</v>
      </c>
      <c r="I737" s="12">
        <v>21</v>
      </c>
      <c r="J737" s="12">
        <v>79299</v>
      </c>
      <c r="K737" s="12">
        <v>85.35</v>
      </c>
      <c r="L737" s="12">
        <v>15</v>
      </c>
      <c r="M737" s="12">
        <v>46</v>
      </c>
      <c r="N737" s="12">
        <v>20</v>
      </c>
      <c r="O737" s="12" t="s">
        <v>22</v>
      </c>
      <c r="P737" s="12">
        <v>7.73</v>
      </c>
      <c r="Q737" s="12" t="s">
        <v>23</v>
      </c>
    </row>
    <row r="738" spans="1:17" x14ac:dyDescent="0.3">
      <c r="A738" s="12" t="s">
        <v>1542</v>
      </c>
      <c r="B738" s="12" t="s">
        <v>1543</v>
      </c>
      <c r="C738" s="12" t="s">
        <v>19</v>
      </c>
      <c r="D738" s="12">
        <v>28</v>
      </c>
      <c r="E738" s="12" t="s">
        <v>91</v>
      </c>
      <c r="F738" s="12" t="s">
        <v>15</v>
      </c>
      <c r="G738" s="12" t="s">
        <v>73</v>
      </c>
      <c r="H738" s="12" t="s">
        <v>62</v>
      </c>
      <c r="I738" s="12">
        <v>2</v>
      </c>
      <c r="J738" s="12">
        <v>63465</v>
      </c>
      <c r="K738" s="12">
        <v>74.069999999999993</v>
      </c>
      <c r="L738" s="12">
        <v>16</v>
      </c>
      <c r="M738" s="12">
        <v>0</v>
      </c>
      <c r="N738" s="12">
        <v>40</v>
      </c>
      <c r="O738" s="12" t="s">
        <v>20</v>
      </c>
      <c r="P738" s="12">
        <v>7.5</v>
      </c>
      <c r="Q738" s="12" t="s">
        <v>23</v>
      </c>
    </row>
    <row r="739" spans="1:17" x14ac:dyDescent="0.3">
      <c r="A739" s="12" t="s">
        <v>1544</v>
      </c>
      <c r="B739" s="12" t="s">
        <v>1545</v>
      </c>
      <c r="C739" s="12" t="s">
        <v>19</v>
      </c>
      <c r="D739" s="12">
        <v>56</v>
      </c>
      <c r="E739" s="12" t="s">
        <v>69</v>
      </c>
      <c r="F739" s="12" t="s">
        <v>13</v>
      </c>
      <c r="G739" s="12" t="s">
        <v>107</v>
      </c>
      <c r="H739" s="12" t="s">
        <v>62</v>
      </c>
      <c r="I739" s="12">
        <v>27</v>
      </c>
      <c r="J739" s="12">
        <v>53889</v>
      </c>
      <c r="K739" s="12">
        <v>84.96</v>
      </c>
      <c r="L739" s="12">
        <v>1</v>
      </c>
      <c r="M739" s="12">
        <v>25</v>
      </c>
      <c r="N739" s="12">
        <v>14</v>
      </c>
      <c r="O739" s="12" t="s">
        <v>22</v>
      </c>
      <c r="P739" s="12">
        <v>5.8</v>
      </c>
      <c r="Q739" s="12" t="s">
        <v>23</v>
      </c>
    </row>
    <row r="740" spans="1:17" x14ac:dyDescent="0.3">
      <c r="A740" s="12" t="s">
        <v>1546</v>
      </c>
      <c r="B740" s="12" t="s">
        <v>1547</v>
      </c>
      <c r="C740" s="12" t="s">
        <v>18</v>
      </c>
      <c r="D740" s="12">
        <v>42</v>
      </c>
      <c r="E740" s="12" t="s">
        <v>60</v>
      </c>
      <c r="F740" s="12" t="s">
        <v>12</v>
      </c>
      <c r="G740" s="12" t="s">
        <v>119</v>
      </c>
      <c r="H740" s="12" t="s">
        <v>62</v>
      </c>
      <c r="I740" s="12">
        <v>16</v>
      </c>
      <c r="J740" s="12">
        <v>90549</v>
      </c>
      <c r="K740" s="12">
        <v>75.319999999999993</v>
      </c>
      <c r="L740" s="12">
        <v>2</v>
      </c>
      <c r="M740" s="12">
        <v>59</v>
      </c>
      <c r="N740" s="12">
        <v>53</v>
      </c>
      <c r="O740" s="12" t="s">
        <v>21</v>
      </c>
      <c r="P740" s="12">
        <v>5.38</v>
      </c>
      <c r="Q740" s="12" t="s">
        <v>23</v>
      </c>
    </row>
    <row r="741" spans="1:17" x14ac:dyDescent="0.3">
      <c r="A741" s="12" t="s">
        <v>1548</v>
      </c>
      <c r="B741" s="12" t="s">
        <v>1549</v>
      </c>
      <c r="C741" s="12" t="s">
        <v>18</v>
      </c>
      <c r="D741" s="12">
        <v>54</v>
      </c>
      <c r="E741" s="12" t="s">
        <v>69</v>
      </c>
      <c r="F741" s="12" t="s">
        <v>15</v>
      </c>
      <c r="G741" s="12" t="s">
        <v>130</v>
      </c>
      <c r="H741" s="12" t="s">
        <v>86</v>
      </c>
      <c r="I741" s="12">
        <v>23</v>
      </c>
      <c r="J741" s="12">
        <v>112657</v>
      </c>
      <c r="K741" s="12">
        <v>83.6</v>
      </c>
      <c r="L741" s="12">
        <v>1</v>
      </c>
      <c r="M741" s="12">
        <v>18</v>
      </c>
      <c r="N741" s="12">
        <v>119</v>
      </c>
      <c r="O741" s="12" t="s">
        <v>20</v>
      </c>
      <c r="P741" s="12">
        <v>7.83</v>
      </c>
      <c r="Q741" s="12" t="s">
        <v>23</v>
      </c>
    </row>
    <row r="742" spans="1:17" x14ac:dyDescent="0.3">
      <c r="A742" s="12" t="s">
        <v>1550</v>
      </c>
      <c r="B742" s="12" t="s">
        <v>7</v>
      </c>
      <c r="C742" s="12" t="s">
        <v>19</v>
      </c>
      <c r="D742" s="12">
        <v>39</v>
      </c>
      <c r="E742" s="12" t="s">
        <v>55</v>
      </c>
      <c r="F742" s="12" t="s">
        <v>15</v>
      </c>
      <c r="G742" s="12" t="s">
        <v>73</v>
      </c>
      <c r="H742" s="12" t="s">
        <v>77</v>
      </c>
      <c r="I742" s="12">
        <v>12</v>
      </c>
      <c r="J742" s="12">
        <v>69590</v>
      </c>
      <c r="K742" s="12">
        <v>99.21</v>
      </c>
      <c r="L742" s="12">
        <v>20</v>
      </c>
      <c r="M742" s="12">
        <v>9</v>
      </c>
      <c r="N742" s="12">
        <v>94</v>
      </c>
      <c r="O742" s="12" t="s">
        <v>20</v>
      </c>
      <c r="P742" s="12">
        <v>9.4</v>
      </c>
      <c r="Q742" s="12" t="s">
        <v>24</v>
      </c>
    </row>
    <row r="743" spans="1:17" x14ac:dyDescent="0.3">
      <c r="A743" s="12" t="s">
        <v>1551</v>
      </c>
      <c r="B743" s="12" t="s">
        <v>1552</v>
      </c>
      <c r="C743" s="12" t="s">
        <v>19</v>
      </c>
      <c r="D743" s="12">
        <v>48</v>
      </c>
      <c r="E743" s="12" t="s">
        <v>69</v>
      </c>
      <c r="F743" s="12" t="s">
        <v>12</v>
      </c>
      <c r="G743" s="12" t="s">
        <v>92</v>
      </c>
      <c r="H743" s="12" t="s">
        <v>57</v>
      </c>
      <c r="I743" s="12">
        <v>3</v>
      </c>
      <c r="J743" s="12">
        <v>152112</v>
      </c>
      <c r="K743" s="12">
        <v>67.680000000000007</v>
      </c>
      <c r="L743" s="12">
        <v>17</v>
      </c>
      <c r="M743" s="12">
        <v>39</v>
      </c>
      <c r="N743" s="12">
        <v>44</v>
      </c>
      <c r="O743" s="12" t="s">
        <v>22</v>
      </c>
      <c r="P743" s="12">
        <v>7.58</v>
      </c>
      <c r="Q743" s="12" t="s">
        <v>23</v>
      </c>
    </row>
    <row r="744" spans="1:17" x14ac:dyDescent="0.3">
      <c r="A744" s="12" t="s">
        <v>1553</v>
      </c>
      <c r="B744" s="12" t="s">
        <v>1554</v>
      </c>
      <c r="C744" s="12" t="s">
        <v>19</v>
      </c>
      <c r="D744" s="12">
        <v>44</v>
      </c>
      <c r="E744" s="12" t="s">
        <v>80</v>
      </c>
      <c r="F744" s="12" t="s">
        <v>13</v>
      </c>
      <c r="G744" s="12" t="s">
        <v>66</v>
      </c>
      <c r="H744" s="12" t="s">
        <v>86</v>
      </c>
      <c r="I744" s="12">
        <v>10</v>
      </c>
      <c r="J744" s="12">
        <v>50638</v>
      </c>
      <c r="K744" s="12">
        <v>66.2</v>
      </c>
      <c r="L744" s="12">
        <v>16</v>
      </c>
      <c r="M744" s="12">
        <v>36</v>
      </c>
      <c r="N744" s="12">
        <v>56</v>
      </c>
      <c r="O744" s="12" t="s">
        <v>20</v>
      </c>
      <c r="P744" s="12">
        <v>7.21</v>
      </c>
      <c r="Q744" s="12" t="s">
        <v>23</v>
      </c>
    </row>
    <row r="745" spans="1:17" x14ac:dyDescent="0.3">
      <c r="A745" s="12" t="s">
        <v>1555</v>
      </c>
      <c r="B745" s="12" t="s">
        <v>1556</v>
      </c>
      <c r="C745" s="12" t="s">
        <v>19</v>
      </c>
      <c r="D745" s="12">
        <v>52</v>
      </c>
      <c r="E745" s="12" t="s">
        <v>69</v>
      </c>
      <c r="F745" s="12" t="s">
        <v>16</v>
      </c>
      <c r="G745" s="12" t="s">
        <v>181</v>
      </c>
      <c r="H745" s="12" t="s">
        <v>77</v>
      </c>
      <c r="I745" s="12">
        <v>24</v>
      </c>
      <c r="J745" s="12">
        <v>75667</v>
      </c>
      <c r="K745" s="12">
        <v>93.79</v>
      </c>
      <c r="L745" s="12">
        <v>8</v>
      </c>
      <c r="M745" s="12">
        <v>60</v>
      </c>
      <c r="N745" s="12">
        <v>65</v>
      </c>
      <c r="O745" s="12" t="s">
        <v>20</v>
      </c>
      <c r="P745" s="12">
        <v>7.81</v>
      </c>
      <c r="Q745" s="12" t="s">
        <v>23</v>
      </c>
    </row>
    <row r="746" spans="1:17" x14ac:dyDescent="0.3">
      <c r="A746" s="12" t="s">
        <v>1557</v>
      </c>
      <c r="B746" s="12" t="s">
        <v>1558</v>
      </c>
      <c r="C746" s="12" t="s">
        <v>18</v>
      </c>
      <c r="D746" s="12">
        <v>41</v>
      </c>
      <c r="E746" s="12" t="s">
        <v>65</v>
      </c>
      <c r="F746" s="12" t="s">
        <v>12</v>
      </c>
      <c r="G746" s="12" t="s">
        <v>119</v>
      </c>
      <c r="H746" s="12" t="s">
        <v>86</v>
      </c>
      <c r="I746" s="12">
        <v>2</v>
      </c>
      <c r="J746" s="12">
        <v>70038</v>
      </c>
      <c r="K746" s="12">
        <v>81.93</v>
      </c>
      <c r="L746" s="12">
        <v>5</v>
      </c>
      <c r="M746" s="12">
        <v>2</v>
      </c>
      <c r="N746" s="12">
        <v>34</v>
      </c>
      <c r="O746" s="12" t="s">
        <v>21</v>
      </c>
      <c r="P746" s="12">
        <v>6.39</v>
      </c>
      <c r="Q746" s="12" t="s">
        <v>23</v>
      </c>
    </row>
    <row r="747" spans="1:17" x14ac:dyDescent="0.3">
      <c r="A747" s="12" t="s">
        <v>1559</v>
      </c>
      <c r="B747" s="12" t="s">
        <v>1560</v>
      </c>
      <c r="C747" s="12" t="s">
        <v>18</v>
      </c>
      <c r="D747" s="12">
        <v>33</v>
      </c>
      <c r="E747" s="12" t="s">
        <v>69</v>
      </c>
      <c r="F747" s="12" t="s">
        <v>14</v>
      </c>
      <c r="G747" s="12" t="s">
        <v>70</v>
      </c>
      <c r="H747" s="12" t="s">
        <v>57</v>
      </c>
      <c r="I747" s="12">
        <v>9</v>
      </c>
      <c r="J747" s="12">
        <v>129004</v>
      </c>
      <c r="K747" s="12">
        <v>98.77</v>
      </c>
      <c r="L747" s="12">
        <v>13</v>
      </c>
      <c r="M747" s="12">
        <v>24</v>
      </c>
      <c r="N747" s="12">
        <v>19</v>
      </c>
      <c r="O747" s="12" t="s">
        <v>20</v>
      </c>
      <c r="P747" s="12">
        <v>7.87</v>
      </c>
      <c r="Q747" s="12" t="s">
        <v>23</v>
      </c>
    </row>
    <row r="748" spans="1:17" x14ac:dyDescent="0.3">
      <c r="A748" s="12" t="s">
        <v>1561</v>
      </c>
      <c r="B748" s="12" t="s">
        <v>1562</v>
      </c>
      <c r="C748" s="12" t="s">
        <v>19</v>
      </c>
      <c r="D748" s="12">
        <v>51</v>
      </c>
      <c r="E748" s="12" t="s">
        <v>91</v>
      </c>
      <c r="F748" s="12" t="s">
        <v>14</v>
      </c>
      <c r="G748" s="12" t="s">
        <v>110</v>
      </c>
      <c r="H748" s="12" t="s">
        <v>62</v>
      </c>
      <c r="I748" s="12">
        <v>25</v>
      </c>
      <c r="J748" s="12">
        <v>113766</v>
      </c>
      <c r="K748" s="12">
        <v>88.65</v>
      </c>
      <c r="L748" s="12">
        <v>15</v>
      </c>
      <c r="M748" s="12">
        <v>20</v>
      </c>
      <c r="N748" s="12">
        <v>118</v>
      </c>
      <c r="O748" s="12" t="s">
        <v>21</v>
      </c>
      <c r="P748" s="12">
        <v>9.23</v>
      </c>
      <c r="Q748" s="12" t="s">
        <v>24</v>
      </c>
    </row>
    <row r="749" spans="1:17" x14ac:dyDescent="0.3">
      <c r="A749" s="12" t="s">
        <v>1563</v>
      </c>
      <c r="B749" s="12" t="s">
        <v>1564</v>
      </c>
      <c r="C749" s="12" t="s">
        <v>19</v>
      </c>
      <c r="D749" s="12">
        <v>55</v>
      </c>
      <c r="E749" s="12" t="s">
        <v>55</v>
      </c>
      <c r="F749" s="12" t="s">
        <v>12</v>
      </c>
      <c r="G749" s="12" t="s">
        <v>152</v>
      </c>
      <c r="H749" s="12" t="s">
        <v>57</v>
      </c>
      <c r="I749" s="12">
        <v>0</v>
      </c>
      <c r="J749" s="12">
        <v>119069</v>
      </c>
      <c r="K749" s="12">
        <v>82.55</v>
      </c>
      <c r="L749" s="12">
        <v>17</v>
      </c>
      <c r="M749" s="12">
        <v>53</v>
      </c>
      <c r="N749" s="12">
        <v>85</v>
      </c>
      <c r="O749" s="12" t="s">
        <v>21</v>
      </c>
      <c r="P749" s="12">
        <v>8.31</v>
      </c>
      <c r="Q749" s="12" t="s">
        <v>23</v>
      </c>
    </row>
    <row r="750" spans="1:17" x14ac:dyDescent="0.3">
      <c r="A750" s="12" t="s">
        <v>1565</v>
      </c>
      <c r="B750" s="12" t="s">
        <v>1566</v>
      </c>
      <c r="C750" s="12" t="s">
        <v>19</v>
      </c>
      <c r="D750" s="12">
        <v>48</v>
      </c>
      <c r="E750" s="12" t="s">
        <v>60</v>
      </c>
      <c r="F750" s="12" t="s">
        <v>17</v>
      </c>
      <c r="G750" s="12" t="s">
        <v>99</v>
      </c>
      <c r="H750" s="12" t="s">
        <v>86</v>
      </c>
      <c r="I750" s="12">
        <v>8</v>
      </c>
      <c r="J750" s="12">
        <v>65695</v>
      </c>
      <c r="K750" s="12">
        <v>79.3</v>
      </c>
      <c r="L750" s="12">
        <v>8</v>
      </c>
      <c r="M750" s="12">
        <v>33</v>
      </c>
      <c r="N750" s="12">
        <v>65</v>
      </c>
      <c r="O750" s="12" t="s">
        <v>22</v>
      </c>
      <c r="P750" s="12">
        <v>7.19</v>
      </c>
      <c r="Q750" s="12" t="s">
        <v>23</v>
      </c>
    </row>
    <row r="751" spans="1:17" x14ac:dyDescent="0.3">
      <c r="A751" s="12" t="s">
        <v>1567</v>
      </c>
      <c r="B751" s="12" t="s">
        <v>1568</v>
      </c>
      <c r="C751" s="12" t="s">
        <v>18</v>
      </c>
      <c r="D751" s="12">
        <v>49</v>
      </c>
      <c r="E751" s="12" t="s">
        <v>65</v>
      </c>
      <c r="F751" s="12" t="s">
        <v>14</v>
      </c>
      <c r="G751" s="12" t="s">
        <v>110</v>
      </c>
      <c r="H751" s="12" t="s">
        <v>57</v>
      </c>
      <c r="I751" s="12">
        <v>14</v>
      </c>
      <c r="J751" s="12">
        <v>66173</v>
      </c>
      <c r="K751" s="12">
        <v>93.18</v>
      </c>
      <c r="L751" s="12">
        <v>3</v>
      </c>
      <c r="M751" s="12">
        <v>45</v>
      </c>
      <c r="N751" s="12">
        <v>91</v>
      </c>
      <c r="O751" s="12" t="s">
        <v>20</v>
      </c>
      <c r="P751" s="12">
        <v>6.94</v>
      </c>
      <c r="Q751" s="12" t="s">
        <v>23</v>
      </c>
    </row>
    <row r="752" spans="1:17" x14ac:dyDescent="0.3">
      <c r="A752" s="12" t="s">
        <v>1569</v>
      </c>
      <c r="B752" s="12" t="s">
        <v>1570</v>
      </c>
      <c r="C752" s="12" t="s">
        <v>18</v>
      </c>
      <c r="D752" s="12">
        <v>34</v>
      </c>
      <c r="E752" s="12" t="s">
        <v>65</v>
      </c>
      <c r="F752" s="12" t="s">
        <v>15</v>
      </c>
      <c r="G752" s="12" t="s">
        <v>61</v>
      </c>
      <c r="H752" s="12" t="s">
        <v>62</v>
      </c>
      <c r="I752" s="12">
        <v>1</v>
      </c>
      <c r="J752" s="12">
        <v>126184</v>
      </c>
      <c r="K752" s="12">
        <v>87.1</v>
      </c>
      <c r="L752" s="12">
        <v>13</v>
      </c>
      <c r="M752" s="12">
        <v>54</v>
      </c>
      <c r="N752" s="12">
        <v>80</v>
      </c>
      <c r="O752" s="12" t="s">
        <v>20</v>
      </c>
      <c r="P752" s="12">
        <v>7.24</v>
      </c>
      <c r="Q752" s="12" t="s">
        <v>23</v>
      </c>
    </row>
    <row r="753" spans="1:17" x14ac:dyDescent="0.3">
      <c r="A753" s="12" t="s">
        <v>1571</v>
      </c>
      <c r="B753" s="12" t="s">
        <v>1572</v>
      </c>
      <c r="C753" s="12" t="s">
        <v>19</v>
      </c>
      <c r="D753" s="12">
        <v>24</v>
      </c>
      <c r="E753" s="12" t="s">
        <v>91</v>
      </c>
      <c r="F753" s="12" t="s">
        <v>13</v>
      </c>
      <c r="G753" s="12" t="s">
        <v>66</v>
      </c>
      <c r="H753" s="12" t="s">
        <v>86</v>
      </c>
      <c r="I753" s="12">
        <v>3</v>
      </c>
      <c r="J753" s="12">
        <v>69662</v>
      </c>
      <c r="K753" s="12">
        <v>83.83</v>
      </c>
      <c r="L753" s="12">
        <v>8</v>
      </c>
      <c r="M753" s="12">
        <v>43</v>
      </c>
      <c r="N753" s="12">
        <v>19</v>
      </c>
      <c r="O753" s="12" t="s">
        <v>21</v>
      </c>
      <c r="P753" s="12">
        <v>5.94</v>
      </c>
      <c r="Q753" s="12" t="s">
        <v>23</v>
      </c>
    </row>
    <row r="754" spans="1:17" x14ac:dyDescent="0.3">
      <c r="A754" s="12" t="s">
        <v>1573</v>
      </c>
      <c r="B754" s="12" t="s">
        <v>1574</v>
      </c>
      <c r="C754" s="12" t="s">
        <v>18</v>
      </c>
      <c r="D754" s="12">
        <v>41</v>
      </c>
      <c r="E754" s="12" t="s">
        <v>80</v>
      </c>
      <c r="F754" s="12" t="s">
        <v>16</v>
      </c>
      <c r="G754" s="12" t="s">
        <v>271</v>
      </c>
      <c r="H754" s="12" t="s">
        <v>62</v>
      </c>
      <c r="I754" s="12">
        <v>5</v>
      </c>
      <c r="J754" s="12">
        <v>115819</v>
      </c>
      <c r="K754" s="12">
        <v>96.86</v>
      </c>
      <c r="L754" s="12">
        <v>4</v>
      </c>
      <c r="M754" s="12">
        <v>32</v>
      </c>
      <c r="N754" s="12">
        <v>16</v>
      </c>
      <c r="O754" s="12" t="s">
        <v>20</v>
      </c>
      <c r="P754" s="12">
        <v>4.91</v>
      </c>
      <c r="Q754" s="12" t="s">
        <v>23</v>
      </c>
    </row>
    <row r="755" spans="1:17" x14ac:dyDescent="0.3">
      <c r="A755" s="12" t="s">
        <v>1575</v>
      </c>
      <c r="B755" s="12" t="s">
        <v>1576</v>
      </c>
      <c r="C755" s="12" t="s">
        <v>19</v>
      </c>
      <c r="D755" s="12">
        <v>30</v>
      </c>
      <c r="E755" s="12" t="s">
        <v>60</v>
      </c>
      <c r="F755" s="12" t="s">
        <v>12</v>
      </c>
      <c r="G755" s="12" t="s">
        <v>119</v>
      </c>
      <c r="H755" s="12" t="s">
        <v>86</v>
      </c>
      <c r="I755" s="12">
        <v>8</v>
      </c>
      <c r="J755" s="12">
        <v>69049</v>
      </c>
      <c r="K755" s="12">
        <v>75.16</v>
      </c>
      <c r="L755" s="12">
        <v>19</v>
      </c>
      <c r="M755" s="12">
        <v>56</v>
      </c>
      <c r="N755" s="12">
        <v>25</v>
      </c>
      <c r="O755" s="12" t="s">
        <v>22</v>
      </c>
      <c r="P755" s="12">
        <v>6.59</v>
      </c>
      <c r="Q755" s="12" t="s">
        <v>23</v>
      </c>
    </row>
    <row r="756" spans="1:17" x14ac:dyDescent="0.3">
      <c r="A756" s="12" t="s">
        <v>1577</v>
      </c>
      <c r="B756" s="12" t="s">
        <v>1578</v>
      </c>
      <c r="C756" s="12" t="s">
        <v>18</v>
      </c>
      <c r="D756" s="12">
        <v>33</v>
      </c>
      <c r="E756" s="12" t="s">
        <v>65</v>
      </c>
      <c r="F756" s="12" t="s">
        <v>14</v>
      </c>
      <c r="G756" s="12" t="s">
        <v>110</v>
      </c>
      <c r="H756" s="12" t="s">
        <v>77</v>
      </c>
      <c r="I756" s="12">
        <v>1</v>
      </c>
      <c r="J756" s="12">
        <v>118969</v>
      </c>
      <c r="K756" s="12">
        <v>95.42</v>
      </c>
      <c r="L756" s="12">
        <v>1</v>
      </c>
      <c r="M756" s="12">
        <v>41</v>
      </c>
      <c r="N756" s="12">
        <v>115</v>
      </c>
      <c r="O756" s="12" t="s">
        <v>20</v>
      </c>
      <c r="P756" s="12">
        <v>6.59</v>
      </c>
      <c r="Q756" s="12" t="s">
        <v>23</v>
      </c>
    </row>
    <row r="757" spans="1:17" x14ac:dyDescent="0.3">
      <c r="A757" s="12" t="s">
        <v>1579</v>
      </c>
      <c r="B757" s="12" t="s">
        <v>1580</v>
      </c>
      <c r="C757" s="12" t="s">
        <v>19</v>
      </c>
      <c r="D757" s="12">
        <v>54</v>
      </c>
      <c r="E757" s="12" t="s">
        <v>91</v>
      </c>
      <c r="F757" s="12" t="s">
        <v>12</v>
      </c>
      <c r="G757" s="12" t="s">
        <v>92</v>
      </c>
      <c r="H757" s="12" t="s">
        <v>57</v>
      </c>
      <c r="I757" s="12">
        <v>17</v>
      </c>
      <c r="J757" s="12">
        <v>151180</v>
      </c>
      <c r="K757" s="12">
        <v>66.98</v>
      </c>
      <c r="L757" s="12">
        <v>7</v>
      </c>
      <c r="M757" s="12">
        <v>46</v>
      </c>
      <c r="N757" s="12">
        <v>77</v>
      </c>
      <c r="O757" s="12" t="s">
        <v>20</v>
      </c>
      <c r="P757" s="12">
        <v>7.57</v>
      </c>
      <c r="Q757" s="12" t="s">
        <v>23</v>
      </c>
    </row>
    <row r="758" spans="1:17" x14ac:dyDescent="0.3">
      <c r="A758" s="12" t="s">
        <v>1581</v>
      </c>
      <c r="B758" s="12" t="s">
        <v>1582</v>
      </c>
      <c r="C758" s="12" t="s">
        <v>18</v>
      </c>
      <c r="D758" s="12">
        <v>58</v>
      </c>
      <c r="E758" s="12" t="s">
        <v>91</v>
      </c>
      <c r="F758" s="12" t="s">
        <v>12</v>
      </c>
      <c r="G758" s="12" t="s">
        <v>119</v>
      </c>
      <c r="H758" s="12" t="s">
        <v>86</v>
      </c>
      <c r="I758" s="12">
        <v>4</v>
      </c>
      <c r="J758" s="12">
        <v>131668</v>
      </c>
      <c r="K758" s="12">
        <v>92.92</v>
      </c>
      <c r="L758" s="12">
        <v>13</v>
      </c>
      <c r="M758" s="12">
        <v>39</v>
      </c>
      <c r="N758" s="12">
        <v>119</v>
      </c>
      <c r="O758" s="12" t="s">
        <v>21</v>
      </c>
      <c r="P758" s="12">
        <v>8.56</v>
      </c>
      <c r="Q758" s="12" t="s">
        <v>24</v>
      </c>
    </row>
    <row r="759" spans="1:17" x14ac:dyDescent="0.3">
      <c r="A759" s="12" t="s">
        <v>1583</v>
      </c>
      <c r="B759" s="12" t="s">
        <v>1584</v>
      </c>
      <c r="C759" s="12" t="s">
        <v>18</v>
      </c>
      <c r="D759" s="12">
        <v>49</v>
      </c>
      <c r="E759" s="12" t="s">
        <v>55</v>
      </c>
      <c r="F759" s="12" t="s">
        <v>17</v>
      </c>
      <c r="G759" s="12" t="s">
        <v>102</v>
      </c>
      <c r="H759" s="12" t="s">
        <v>62</v>
      </c>
      <c r="I759" s="12">
        <v>21</v>
      </c>
      <c r="J759" s="12">
        <v>130855</v>
      </c>
      <c r="K759" s="12">
        <v>85.17</v>
      </c>
      <c r="L759" s="12">
        <v>2</v>
      </c>
      <c r="M759" s="12">
        <v>9</v>
      </c>
      <c r="N759" s="12">
        <v>45</v>
      </c>
      <c r="O759" s="12" t="s">
        <v>20</v>
      </c>
      <c r="P759" s="12">
        <v>6.3</v>
      </c>
      <c r="Q759" s="12" t="s">
        <v>23</v>
      </c>
    </row>
    <row r="760" spans="1:17" x14ac:dyDescent="0.3">
      <c r="A760" s="12" t="s">
        <v>1585</v>
      </c>
      <c r="B760" s="12" t="s">
        <v>1586</v>
      </c>
      <c r="C760" s="12" t="s">
        <v>19</v>
      </c>
      <c r="D760" s="12">
        <v>22</v>
      </c>
      <c r="E760" s="12" t="s">
        <v>55</v>
      </c>
      <c r="F760" s="12" t="s">
        <v>17</v>
      </c>
      <c r="G760" s="12" t="s">
        <v>99</v>
      </c>
      <c r="H760" s="12" t="s">
        <v>62</v>
      </c>
      <c r="I760" s="12">
        <v>0</v>
      </c>
      <c r="J760" s="12">
        <v>117150</v>
      </c>
      <c r="K760" s="12">
        <v>93.23</v>
      </c>
      <c r="L760" s="12">
        <v>20</v>
      </c>
      <c r="M760" s="12">
        <v>58</v>
      </c>
      <c r="N760" s="12">
        <v>5</v>
      </c>
      <c r="O760" s="12" t="s">
        <v>21</v>
      </c>
      <c r="P760" s="12">
        <v>7.9</v>
      </c>
      <c r="Q760" s="12" t="s">
        <v>23</v>
      </c>
    </row>
    <row r="761" spans="1:17" x14ac:dyDescent="0.3">
      <c r="A761" s="12" t="s">
        <v>1587</v>
      </c>
      <c r="B761" s="12" t="s">
        <v>1588</v>
      </c>
      <c r="C761" s="12" t="s">
        <v>18</v>
      </c>
      <c r="D761" s="12">
        <v>54</v>
      </c>
      <c r="E761" s="12" t="s">
        <v>60</v>
      </c>
      <c r="F761" s="12" t="s">
        <v>14</v>
      </c>
      <c r="G761" s="12" t="s">
        <v>248</v>
      </c>
      <c r="H761" s="12" t="s">
        <v>86</v>
      </c>
      <c r="I761" s="12">
        <v>20</v>
      </c>
      <c r="J761" s="12">
        <v>129737</v>
      </c>
      <c r="K761" s="12">
        <v>88.61</v>
      </c>
      <c r="L761" s="12">
        <v>11</v>
      </c>
      <c r="M761" s="12">
        <v>27</v>
      </c>
      <c r="N761" s="12">
        <v>48</v>
      </c>
      <c r="O761" s="12" t="s">
        <v>20</v>
      </c>
      <c r="P761" s="12">
        <v>7.83</v>
      </c>
      <c r="Q761" s="12" t="s">
        <v>23</v>
      </c>
    </row>
    <row r="762" spans="1:17" x14ac:dyDescent="0.3">
      <c r="A762" s="12" t="s">
        <v>1589</v>
      </c>
      <c r="B762" s="12" t="s">
        <v>1590</v>
      </c>
      <c r="C762" s="12" t="s">
        <v>19</v>
      </c>
      <c r="D762" s="12">
        <v>35</v>
      </c>
      <c r="E762" s="12" t="s">
        <v>80</v>
      </c>
      <c r="F762" s="12" t="s">
        <v>15</v>
      </c>
      <c r="G762" s="12" t="s">
        <v>130</v>
      </c>
      <c r="H762" s="12" t="s">
        <v>57</v>
      </c>
      <c r="I762" s="12">
        <v>5</v>
      </c>
      <c r="J762" s="12">
        <v>37199</v>
      </c>
      <c r="K762" s="12">
        <v>89.31</v>
      </c>
      <c r="L762" s="12">
        <v>15</v>
      </c>
      <c r="M762" s="12">
        <v>34</v>
      </c>
      <c r="N762" s="12">
        <v>81</v>
      </c>
      <c r="O762" s="12" t="s">
        <v>22</v>
      </c>
      <c r="P762" s="12">
        <v>9.06</v>
      </c>
      <c r="Q762" s="12" t="s">
        <v>24</v>
      </c>
    </row>
    <row r="763" spans="1:17" x14ac:dyDescent="0.3">
      <c r="A763" s="12" t="s">
        <v>1591</v>
      </c>
      <c r="B763" s="12" t="s">
        <v>1592</v>
      </c>
      <c r="C763" s="12" t="s">
        <v>19</v>
      </c>
      <c r="D763" s="12">
        <v>48</v>
      </c>
      <c r="E763" s="12" t="s">
        <v>55</v>
      </c>
      <c r="F763" s="12" t="s">
        <v>12</v>
      </c>
      <c r="G763" s="12" t="s">
        <v>119</v>
      </c>
      <c r="H763" s="12" t="s">
        <v>77</v>
      </c>
      <c r="I763" s="12">
        <v>16</v>
      </c>
      <c r="J763" s="12">
        <v>152254</v>
      </c>
      <c r="K763" s="12">
        <v>66.91</v>
      </c>
      <c r="L763" s="12">
        <v>20</v>
      </c>
      <c r="M763" s="12">
        <v>46</v>
      </c>
      <c r="N763" s="12">
        <v>112</v>
      </c>
      <c r="O763" s="12" t="s">
        <v>21</v>
      </c>
      <c r="P763" s="12">
        <v>9.39</v>
      </c>
      <c r="Q763" s="12" t="s">
        <v>24</v>
      </c>
    </row>
    <row r="764" spans="1:17" x14ac:dyDescent="0.3">
      <c r="A764" s="12" t="s">
        <v>1593</v>
      </c>
      <c r="B764" s="12" t="s">
        <v>1594</v>
      </c>
      <c r="C764" s="12" t="s">
        <v>18</v>
      </c>
      <c r="D764" s="12">
        <v>57</v>
      </c>
      <c r="E764" s="12" t="s">
        <v>60</v>
      </c>
      <c r="F764" s="12" t="s">
        <v>13</v>
      </c>
      <c r="G764" s="12" t="s">
        <v>66</v>
      </c>
      <c r="H764" s="12" t="s">
        <v>77</v>
      </c>
      <c r="I764" s="12">
        <v>8</v>
      </c>
      <c r="J764" s="12">
        <v>98392</v>
      </c>
      <c r="K764" s="12">
        <v>99.11</v>
      </c>
      <c r="L764" s="12">
        <v>12</v>
      </c>
      <c r="M764" s="12">
        <v>25</v>
      </c>
      <c r="N764" s="12">
        <v>69</v>
      </c>
      <c r="O764" s="12" t="s">
        <v>20</v>
      </c>
      <c r="P764" s="12">
        <v>7.35</v>
      </c>
      <c r="Q764" s="12" t="s">
        <v>23</v>
      </c>
    </row>
    <row r="765" spans="1:17" x14ac:dyDescent="0.3">
      <c r="A765" s="12" t="s">
        <v>1595</v>
      </c>
      <c r="B765" s="12" t="s">
        <v>1596</v>
      </c>
      <c r="C765" s="12" t="s">
        <v>19</v>
      </c>
      <c r="D765" s="12">
        <v>56</v>
      </c>
      <c r="E765" s="12" t="s">
        <v>60</v>
      </c>
      <c r="F765" s="12" t="s">
        <v>14</v>
      </c>
      <c r="G765" s="12" t="s">
        <v>110</v>
      </c>
      <c r="H765" s="12" t="s">
        <v>86</v>
      </c>
      <c r="I765" s="12">
        <v>1</v>
      </c>
      <c r="J765" s="12">
        <v>176709</v>
      </c>
      <c r="K765" s="12">
        <v>98.17</v>
      </c>
      <c r="L765" s="12">
        <v>14</v>
      </c>
      <c r="M765" s="12">
        <v>51</v>
      </c>
      <c r="N765" s="12">
        <v>35</v>
      </c>
      <c r="O765" s="12" t="s">
        <v>21</v>
      </c>
      <c r="P765" s="12">
        <v>6.8</v>
      </c>
      <c r="Q765" s="12" t="s">
        <v>23</v>
      </c>
    </row>
    <row r="766" spans="1:17" x14ac:dyDescent="0.3">
      <c r="A766" s="12" t="s">
        <v>1597</v>
      </c>
      <c r="B766" s="12" t="s">
        <v>1598</v>
      </c>
      <c r="C766" s="12" t="s">
        <v>19</v>
      </c>
      <c r="D766" s="12">
        <v>40</v>
      </c>
      <c r="E766" s="12" t="s">
        <v>65</v>
      </c>
      <c r="F766" s="12" t="s">
        <v>12</v>
      </c>
      <c r="G766" s="12" t="s">
        <v>119</v>
      </c>
      <c r="H766" s="12" t="s">
        <v>57</v>
      </c>
      <c r="I766" s="12">
        <v>1</v>
      </c>
      <c r="J766" s="12">
        <v>122657</v>
      </c>
      <c r="K766" s="12">
        <v>65.069999999999993</v>
      </c>
      <c r="L766" s="12">
        <v>9</v>
      </c>
      <c r="M766" s="12">
        <v>52</v>
      </c>
      <c r="N766" s="12">
        <v>20</v>
      </c>
      <c r="O766" s="12" t="s">
        <v>20</v>
      </c>
      <c r="P766" s="12">
        <v>4.34</v>
      </c>
      <c r="Q766" s="12" t="s">
        <v>23</v>
      </c>
    </row>
    <row r="767" spans="1:17" x14ac:dyDescent="0.3">
      <c r="A767" s="12" t="s">
        <v>1599</v>
      </c>
      <c r="B767" s="12" t="s">
        <v>1600</v>
      </c>
      <c r="C767" s="12" t="s">
        <v>18</v>
      </c>
      <c r="D767" s="12">
        <v>54</v>
      </c>
      <c r="E767" s="12" t="s">
        <v>91</v>
      </c>
      <c r="F767" s="12" t="s">
        <v>14</v>
      </c>
      <c r="G767" s="12" t="s">
        <v>248</v>
      </c>
      <c r="H767" s="12" t="s">
        <v>57</v>
      </c>
      <c r="I767" s="12">
        <v>4</v>
      </c>
      <c r="J767" s="12">
        <v>74510</v>
      </c>
      <c r="K767" s="12">
        <v>86.78</v>
      </c>
      <c r="L767" s="12">
        <v>2</v>
      </c>
      <c r="M767" s="12">
        <v>34</v>
      </c>
      <c r="N767" s="12">
        <v>44</v>
      </c>
      <c r="O767" s="12" t="s">
        <v>22</v>
      </c>
      <c r="P767" s="12">
        <v>6.41</v>
      </c>
      <c r="Q767" s="12" t="s">
        <v>23</v>
      </c>
    </row>
    <row r="768" spans="1:17" x14ac:dyDescent="0.3">
      <c r="A768" s="12" t="s">
        <v>1601</v>
      </c>
      <c r="B768" s="12" t="s">
        <v>1602</v>
      </c>
      <c r="C768" s="12" t="s">
        <v>18</v>
      </c>
      <c r="D768" s="12">
        <v>43</v>
      </c>
      <c r="E768" s="12" t="s">
        <v>65</v>
      </c>
      <c r="F768" s="12" t="s">
        <v>15</v>
      </c>
      <c r="G768" s="12" t="s">
        <v>61</v>
      </c>
      <c r="H768" s="12" t="s">
        <v>77</v>
      </c>
      <c r="I768" s="12">
        <v>21</v>
      </c>
      <c r="J768" s="12">
        <v>46941</v>
      </c>
      <c r="K768" s="12">
        <v>98.37</v>
      </c>
      <c r="L768" s="12">
        <v>6</v>
      </c>
      <c r="M768" s="12">
        <v>34</v>
      </c>
      <c r="N768" s="12">
        <v>21</v>
      </c>
      <c r="O768" s="12" t="s">
        <v>21</v>
      </c>
      <c r="P768" s="12">
        <v>7.26</v>
      </c>
      <c r="Q768" s="12" t="s">
        <v>23</v>
      </c>
    </row>
    <row r="769" spans="1:17" x14ac:dyDescent="0.3">
      <c r="A769" s="12" t="s">
        <v>1603</v>
      </c>
      <c r="B769" s="12" t="s">
        <v>1604</v>
      </c>
      <c r="C769" s="12" t="s">
        <v>18</v>
      </c>
      <c r="D769" s="12">
        <v>44</v>
      </c>
      <c r="E769" s="12" t="s">
        <v>91</v>
      </c>
      <c r="F769" s="12" t="s">
        <v>13</v>
      </c>
      <c r="G769" s="12" t="s">
        <v>107</v>
      </c>
      <c r="H769" s="12" t="s">
        <v>77</v>
      </c>
      <c r="I769" s="12">
        <v>14</v>
      </c>
      <c r="J769" s="12">
        <v>67449</v>
      </c>
      <c r="K769" s="12">
        <v>99.34</v>
      </c>
      <c r="L769" s="12">
        <v>4</v>
      </c>
      <c r="M769" s="12">
        <v>38</v>
      </c>
      <c r="N769" s="12">
        <v>62</v>
      </c>
      <c r="O769" s="12" t="s">
        <v>22</v>
      </c>
      <c r="P769" s="12">
        <v>6.17</v>
      </c>
      <c r="Q769" s="12" t="s">
        <v>23</v>
      </c>
    </row>
    <row r="770" spans="1:17" x14ac:dyDescent="0.3">
      <c r="A770" s="12" t="s">
        <v>1605</v>
      </c>
      <c r="B770" s="12" t="s">
        <v>1606</v>
      </c>
      <c r="C770" s="12" t="s">
        <v>18</v>
      </c>
      <c r="D770" s="12">
        <v>29</v>
      </c>
      <c r="E770" s="12" t="s">
        <v>60</v>
      </c>
      <c r="F770" s="12" t="s">
        <v>14</v>
      </c>
      <c r="G770" s="12" t="s">
        <v>85</v>
      </c>
      <c r="H770" s="12" t="s">
        <v>86</v>
      </c>
      <c r="I770" s="12">
        <v>4</v>
      </c>
      <c r="J770" s="12">
        <v>115338</v>
      </c>
      <c r="K770" s="12">
        <v>97.21</v>
      </c>
      <c r="L770" s="12">
        <v>9</v>
      </c>
      <c r="M770" s="12">
        <v>41</v>
      </c>
      <c r="N770" s="12">
        <v>114</v>
      </c>
      <c r="O770" s="12" t="s">
        <v>22</v>
      </c>
      <c r="P770" s="12">
        <v>9.0299999999999994</v>
      </c>
      <c r="Q770" s="12" t="s">
        <v>24</v>
      </c>
    </row>
    <row r="771" spans="1:17" x14ac:dyDescent="0.3">
      <c r="A771" s="12" t="s">
        <v>1607</v>
      </c>
      <c r="B771" s="12" t="s">
        <v>1608</v>
      </c>
      <c r="C771" s="12" t="s">
        <v>18</v>
      </c>
      <c r="D771" s="12">
        <v>58</v>
      </c>
      <c r="E771" s="12" t="s">
        <v>69</v>
      </c>
      <c r="F771" s="12" t="s">
        <v>15</v>
      </c>
      <c r="G771" s="12" t="s">
        <v>61</v>
      </c>
      <c r="H771" s="12" t="s">
        <v>86</v>
      </c>
      <c r="I771" s="12">
        <v>1</v>
      </c>
      <c r="J771" s="12">
        <v>118455</v>
      </c>
      <c r="K771" s="12">
        <v>68.930000000000007</v>
      </c>
      <c r="L771" s="12">
        <v>20</v>
      </c>
      <c r="M771" s="12">
        <v>35</v>
      </c>
      <c r="N771" s="12">
        <v>6</v>
      </c>
      <c r="O771" s="12" t="s">
        <v>22</v>
      </c>
      <c r="P771" s="12">
        <v>6.65</v>
      </c>
      <c r="Q771" s="12" t="s">
        <v>23</v>
      </c>
    </row>
    <row r="772" spans="1:17" x14ac:dyDescent="0.3">
      <c r="A772" s="12" t="s">
        <v>1609</v>
      </c>
      <c r="B772" s="12" t="s">
        <v>1610</v>
      </c>
      <c r="C772" s="12" t="s">
        <v>19</v>
      </c>
      <c r="D772" s="12">
        <v>45</v>
      </c>
      <c r="E772" s="12" t="s">
        <v>80</v>
      </c>
      <c r="F772" s="12" t="s">
        <v>12</v>
      </c>
      <c r="G772" s="12" t="s">
        <v>92</v>
      </c>
      <c r="H772" s="12" t="s">
        <v>57</v>
      </c>
      <c r="I772" s="12">
        <v>19</v>
      </c>
      <c r="J772" s="12">
        <v>66051</v>
      </c>
      <c r="K772" s="12">
        <v>75.02</v>
      </c>
      <c r="L772" s="12">
        <v>1</v>
      </c>
      <c r="M772" s="12">
        <v>23</v>
      </c>
      <c r="N772" s="12">
        <v>24</v>
      </c>
      <c r="O772" s="12" t="s">
        <v>20</v>
      </c>
      <c r="P772" s="12">
        <v>5.73</v>
      </c>
      <c r="Q772" s="12" t="s">
        <v>23</v>
      </c>
    </row>
    <row r="773" spans="1:17" x14ac:dyDescent="0.3">
      <c r="A773" s="12" t="s">
        <v>1611</v>
      </c>
      <c r="B773" s="12" t="s">
        <v>1612</v>
      </c>
      <c r="C773" s="12" t="s">
        <v>19</v>
      </c>
      <c r="D773" s="12">
        <v>40</v>
      </c>
      <c r="E773" s="12" t="s">
        <v>91</v>
      </c>
      <c r="F773" s="12" t="s">
        <v>17</v>
      </c>
      <c r="G773" s="12" t="s">
        <v>102</v>
      </c>
      <c r="H773" s="12" t="s">
        <v>77</v>
      </c>
      <c r="I773" s="12">
        <v>7</v>
      </c>
      <c r="J773" s="12">
        <v>137321</v>
      </c>
      <c r="K773" s="12">
        <v>70.73</v>
      </c>
      <c r="L773" s="12">
        <v>14</v>
      </c>
      <c r="M773" s="12">
        <v>29</v>
      </c>
      <c r="N773" s="12">
        <v>109</v>
      </c>
      <c r="O773" s="12" t="s">
        <v>20</v>
      </c>
      <c r="P773" s="12">
        <v>8.83</v>
      </c>
      <c r="Q773" s="12" t="s">
        <v>24</v>
      </c>
    </row>
    <row r="774" spans="1:17" x14ac:dyDescent="0.3">
      <c r="A774" s="12" t="s">
        <v>1613</v>
      </c>
      <c r="B774" s="12" t="s">
        <v>1614</v>
      </c>
      <c r="C774" s="12" t="s">
        <v>18</v>
      </c>
      <c r="D774" s="12">
        <v>44</v>
      </c>
      <c r="E774" s="12" t="s">
        <v>55</v>
      </c>
      <c r="F774" s="12" t="s">
        <v>13</v>
      </c>
      <c r="G774" s="12" t="s">
        <v>66</v>
      </c>
      <c r="H774" s="12" t="s">
        <v>57</v>
      </c>
      <c r="I774" s="12">
        <v>23</v>
      </c>
      <c r="J774" s="12">
        <v>76576</v>
      </c>
      <c r="K774" s="12">
        <v>83.16</v>
      </c>
      <c r="L774" s="12">
        <v>10</v>
      </c>
      <c r="M774" s="12">
        <v>58</v>
      </c>
      <c r="N774" s="12">
        <v>102</v>
      </c>
      <c r="O774" s="12" t="s">
        <v>21</v>
      </c>
      <c r="P774" s="12">
        <v>9.42</v>
      </c>
      <c r="Q774" s="12" t="s">
        <v>24</v>
      </c>
    </row>
    <row r="775" spans="1:17" x14ac:dyDescent="0.3">
      <c r="A775" s="12" t="s">
        <v>1615</v>
      </c>
      <c r="B775" s="12" t="s">
        <v>1616</v>
      </c>
      <c r="C775" s="12" t="s">
        <v>19</v>
      </c>
      <c r="D775" s="12">
        <v>54</v>
      </c>
      <c r="E775" s="12" t="s">
        <v>80</v>
      </c>
      <c r="F775" s="12" t="s">
        <v>12</v>
      </c>
      <c r="G775" s="12" t="s">
        <v>119</v>
      </c>
      <c r="H775" s="12" t="s">
        <v>57</v>
      </c>
      <c r="I775" s="12">
        <v>22</v>
      </c>
      <c r="J775" s="12">
        <v>110034</v>
      </c>
      <c r="K775" s="12">
        <v>79.39</v>
      </c>
      <c r="L775" s="12">
        <v>16</v>
      </c>
      <c r="M775" s="12">
        <v>19</v>
      </c>
      <c r="N775" s="12">
        <v>21</v>
      </c>
      <c r="O775" s="12" t="s">
        <v>21</v>
      </c>
      <c r="P775" s="12">
        <v>8.69</v>
      </c>
      <c r="Q775" s="12" t="s">
        <v>24</v>
      </c>
    </row>
    <row r="776" spans="1:17" x14ac:dyDescent="0.3">
      <c r="A776" s="12" t="s">
        <v>1617</v>
      </c>
      <c r="B776" s="12" t="s">
        <v>1618</v>
      </c>
      <c r="C776" s="12" t="s">
        <v>18</v>
      </c>
      <c r="D776" s="12">
        <v>46</v>
      </c>
      <c r="E776" s="12" t="s">
        <v>65</v>
      </c>
      <c r="F776" s="12" t="s">
        <v>17</v>
      </c>
      <c r="G776" s="12" t="s">
        <v>102</v>
      </c>
      <c r="H776" s="12" t="s">
        <v>57</v>
      </c>
      <c r="I776" s="12">
        <v>22</v>
      </c>
      <c r="J776" s="12">
        <v>107442</v>
      </c>
      <c r="K776" s="12">
        <v>73.02</v>
      </c>
      <c r="L776" s="12">
        <v>13</v>
      </c>
      <c r="M776" s="12">
        <v>37</v>
      </c>
      <c r="N776" s="12">
        <v>36</v>
      </c>
      <c r="O776" s="12" t="s">
        <v>22</v>
      </c>
      <c r="P776" s="12">
        <v>7.54</v>
      </c>
      <c r="Q776" s="12" t="s">
        <v>23</v>
      </c>
    </row>
    <row r="777" spans="1:17" x14ac:dyDescent="0.3">
      <c r="A777" s="12" t="s">
        <v>1619</v>
      </c>
      <c r="B777" s="12" t="s">
        <v>4</v>
      </c>
      <c r="C777" s="12" t="s">
        <v>18</v>
      </c>
      <c r="D777" s="12">
        <v>32</v>
      </c>
      <c r="E777" s="12" t="s">
        <v>80</v>
      </c>
      <c r="F777" s="12" t="s">
        <v>15</v>
      </c>
      <c r="G777" s="12" t="s">
        <v>130</v>
      </c>
      <c r="H777" s="12" t="s">
        <v>77</v>
      </c>
      <c r="I777" s="12">
        <v>7</v>
      </c>
      <c r="J777" s="12">
        <v>55881</v>
      </c>
      <c r="K777" s="12">
        <v>97.79</v>
      </c>
      <c r="L777" s="12">
        <v>15</v>
      </c>
      <c r="M777" s="12">
        <v>24</v>
      </c>
      <c r="N777" s="12">
        <v>74</v>
      </c>
      <c r="O777" s="12" t="s">
        <v>20</v>
      </c>
      <c r="P777" s="12">
        <v>9.4</v>
      </c>
      <c r="Q777" s="12" t="s">
        <v>24</v>
      </c>
    </row>
    <row r="778" spans="1:17" x14ac:dyDescent="0.3">
      <c r="A778" s="12" t="s">
        <v>1620</v>
      </c>
      <c r="B778" s="12" t="s">
        <v>1621</v>
      </c>
      <c r="C778" s="12" t="s">
        <v>18</v>
      </c>
      <c r="D778" s="12">
        <v>24</v>
      </c>
      <c r="E778" s="12" t="s">
        <v>91</v>
      </c>
      <c r="F778" s="12" t="s">
        <v>14</v>
      </c>
      <c r="G778" s="12" t="s">
        <v>248</v>
      </c>
      <c r="H778" s="12" t="s">
        <v>77</v>
      </c>
      <c r="I778" s="12">
        <v>3</v>
      </c>
      <c r="J778" s="12">
        <v>173535</v>
      </c>
      <c r="K778" s="12">
        <v>70.28</v>
      </c>
      <c r="L778" s="12">
        <v>5</v>
      </c>
      <c r="M778" s="12">
        <v>40</v>
      </c>
      <c r="N778" s="12">
        <v>109</v>
      </c>
      <c r="O778" s="12" t="s">
        <v>22</v>
      </c>
      <c r="P778" s="12">
        <v>5.87</v>
      </c>
      <c r="Q778" s="12" t="s">
        <v>23</v>
      </c>
    </row>
    <row r="779" spans="1:17" x14ac:dyDescent="0.3">
      <c r="A779" s="12" t="s">
        <v>1622</v>
      </c>
      <c r="B779" s="12" t="s">
        <v>1623</v>
      </c>
      <c r="C779" s="12" t="s">
        <v>18</v>
      </c>
      <c r="D779" s="12">
        <v>45</v>
      </c>
      <c r="E779" s="12" t="s">
        <v>65</v>
      </c>
      <c r="F779" s="12" t="s">
        <v>15</v>
      </c>
      <c r="G779" s="12" t="s">
        <v>130</v>
      </c>
      <c r="H779" s="12" t="s">
        <v>86</v>
      </c>
      <c r="I779" s="12">
        <v>21</v>
      </c>
      <c r="J779" s="12">
        <v>72651</v>
      </c>
      <c r="K779" s="12">
        <v>98.08</v>
      </c>
      <c r="L779" s="12">
        <v>11</v>
      </c>
      <c r="M779" s="12">
        <v>21</v>
      </c>
      <c r="N779" s="12">
        <v>109</v>
      </c>
      <c r="O779" s="12" t="s">
        <v>21</v>
      </c>
      <c r="P779" s="12">
        <v>8.73</v>
      </c>
      <c r="Q779" s="12" t="s">
        <v>24</v>
      </c>
    </row>
    <row r="780" spans="1:17" x14ac:dyDescent="0.3">
      <c r="A780" s="12" t="s">
        <v>1624</v>
      </c>
      <c r="B780" s="12" t="s">
        <v>1625</v>
      </c>
      <c r="C780" s="12" t="s">
        <v>19</v>
      </c>
      <c r="D780" s="12">
        <v>49</v>
      </c>
      <c r="E780" s="12" t="s">
        <v>91</v>
      </c>
      <c r="F780" s="12" t="s">
        <v>12</v>
      </c>
      <c r="G780" s="12" t="s">
        <v>92</v>
      </c>
      <c r="H780" s="12" t="s">
        <v>57</v>
      </c>
      <c r="I780" s="12">
        <v>14</v>
      </c>
      <c r="J780" s="12">
        <v>82501</v>
      </c>
      <c r="K780" s="12">
        <v>68.040000000000006</v>
      </c>
      <c r="L780" s="12">
        <v>13</v>
      </c>
      <c r="M780" s="12">
        <v>21</v>
      </c>
      <c r="N780" s="12">
        <v>104</v>
      </c>
      <c r="O780" s="12" t="s">
        <v>20</v>
      </c>
      <c r="P780" s="12">
        <v>8.52</v>
      </c>
      <c r="Q780" s="12" t="s">
        <v>24</v>
      </c>
    </row>
    <row r="781" spans="1:17" x14ac:dyDescent="0.3">
      <c r="A781" s="12" t="s">
        <v>1626</v>
      </c>
      <c r="B781" s="12" t="s">
        <v>1627</v>
      </c>
      <c r="C781" s="12" t="s">
        <v>18</v>
      </c>
      <c r="D781" s="12">
        <v>47</v>
      </c>
      <c r="E781" s="12" t="s">
        <v>69</v>
      </c>
      <c r="F781" s="12" t="s">
        <v>12</v>
      </c>
      <c r="G781" s="12" t="s">
        <v>152</v>
      </c>
      <c r="H781" s="12" t="s">
        <v>62</v>
      </c>
      <c r="I781" s="12">
        <v>12</v>
      </c>
      <c r="J781" s="12">
        <v>53574</v>
      </c>
      <c r="K781" s="12">
        <v>76.849999999999994</v>
      </c>
      <c r="L781" s="12">
        <v>9</v>
      </c>
      <c r="M781" s="12">
        <v>36</v>
      </c>
      <c r="N781" s="12">
        <v>55</v>
      </c>
      <c r="O781" s="12" t="s">
        <v>20</v>
      </c>
      <c r="P781" s="12">
        <v>7.55</v>
      </c>
      <c r="Q781" s="12" t="s">
        <v>23</v>
      </c>
    </row>
    <row r="782" spans="1:17" x14ac:dyDescent="0.3">
      <c r="A782" s="12" t="s">
        <v>1628</v>
      </c>
      <c r="B782" s="12" t="s">
        <v>1629</v>
      </c>
      <c r="C782" s="12" t="s">
        <v>18</v>
      </c>
      <c r="D782" s="12">
        <v>51</v>
      </c>
      <c r="E782" s="12" t="s">
        <v>65</v>
      </c>
      <c r="F782" s="12" t="s">
        <v>13</v>
      </c>
      <c r="G782" s="12" t="s">
        <v>66</v>
      </c>
      <c r="H782" s="12" t="s">
        <v>62</v>
      </c>
      <c r="I782" s="12">
        <v>19</v>
      </c>
      <c r="J782" s="12">
        <v>48791</v>
      </c>
      <c r="K782" s="12">
        <v>93.64</v>
      </c>
      <c r="L782" s="12">
        <v>14</v>
      </c>
      <c r="M782" s="12">
        <v>19</v>
      </c>
      <c r="N782" s="12">
        <v>75</v>
      </c>
      <c r="O782" s="12" t="s">
        <v>21</v>
      </c>
      <c r="P782" s="12">
        <v>10</v>
      </c>
      <c r="Q782" s="12" t="s">
        <v>24</v>
      </c>
    </row>
    <row r="783" spans="1:17" x14ac:dyDescent="0.3">
      <c r="A783" s="12" t="s">
        <v>1630</v>
      </c>
      <c r="B783" s="12" t="s">
        <v>1631</v>
      </c>
      <c r="C783" s="12" t="s">
        <v>19</v>
      </c>
      <c r="D783" s="12">
        <v>50</v>
      </c>
      <c r="E783" s="12" t="s">
        <v>69</v>
      </c>
      <c r="F783" s="12" t="s">
        <v>16</v>
      </c>
      <c r="G783" s="12" t="s">
        <v>181</v>
      </c>
      <c r="H783" s="12" t="s">
        <v>86</v>
      </c>
      <c r="I783" s="12">
        <v>5</v>
      </c>
      <c r="J783" s="12">
        <v>37554</v>
      </c>
      <c r="K783" s="12">
        <v>91.37</v>
      </c>
      <c r="L783" s="12">
        <v>6</v>
      </c>
      <c r="M783" s="12">
        <v>43</v>
      </c>
      <c r="N783" s="12">
        <v>120</v>
      </c>
      <c r="O783" s="12" t="s">
        <v>20</v>
      </c>
      <c r="P783" s="12">
        <v>7.54</v>
      </c>
      <c r="Q783" s="12" t="s">
        <v>23</v>
      </c>
    </row>
    <row r="784" spans="1:17" x14ac:dyDescent="0.3">
      <c r="A784" s="12" t="s">
        <v>1632</v>
      </c>
      <c r="B784" s="12" t="s">
        <v>1633</v>
      </c>
      <c r="C784" s="12" t="s">
        <v>19</v>
      </c>
      <c r="D784" s="12">
        <v>56</v>
      </c>
      <c r="E784" s="12" t="s">
        <v>60</v>
      </c>
      <c r="F784" s="12" t="s">
        <v>13</v>
      </c>
      <c r="G784" s="12" t="s">
        <v>107</v>
      </c>
      <c r="H784" s="12" t="s">
        <v>86</v>
      </c>
      <c r="I784" s="12">
        <v>33</v>
      </c>
      <c r="J784" s="12">
        <v>78307</v>
      </c>
      <c r="K784" s="12">
        <v>76.62</v>
      </c>
      <c r="L784" s="12">
        <v>11</v>
      </c>
      <c r="M784" s="12">
        <v>9</v>
      </c>
      <c r="N784" s="12">
        <v>110</v>
      </c>
      <c r="O784" s="12" t="s">
        <v>20</v>
      </c>
      <c r="P784" s="12">
        <v>8.7899999999999991</v>
      </c>
      <c r="Q784" s="12" t="s">
        <v>24</v>
      </c>
    </row>
    <row r="785" spans="1:17" x14ac:dyDescent="0.3">
      <c r="A785" s="12" t="s">
        <v>1634</v>
      </c>
      <c r="B785" s="12" t="s">
        <v>1635</v>
      </c>
      <c r="C785" s="12" t="s">
        <v>18</v>
      </c>
      <c r="D785" s="12">
        <v>57</v>
      </c>
      <c r="E785" s="12" t="s">
        <v>65</v>
      </c>
      <c r="F785" s="12" t="s">
        <v>12</v>
      </c>
      <c r="G785" s="12" t="s">
        <v>152</v>
      </c>
      <c r="H785" s="12" t="s">
        <v>86</v>
      </c>
      <c r="I785" s="12">
        <v>6</v>
      </c>
      <c r="J785" s="12">
        <v>50099</v>
      </c>
      <c r="K785" s="12">
        <v>94.86</v>
      </c>
      <c r="L785" s="12">
        <v>16</v>
      </c>
      <c r="M785" s="12">
        <v>51</v>
      </c>
      <c r="N785" s="12">
        <v>52</v>
      </c>
      <c r="O785" s="12" t="s">
        <v>22</v>
      </c>
      <c r="P785" s="12">
        <v>7.9</v>
      </c>
      <c r="Q785" s="12" t="s">
        <v>23</v>
      </c>
    </row>
    <row r="786" spans="1:17" x14ac:dyDescent="0.3">
      <c r="A786" s="12" t="s">
        <v>1636</v>
      </c>
      <c r="B786" s="12" t="s">
        <v>1637</v>
      </c>
      <c r="C786" s="12" t="s">
        <v>19</v>
      </c>
      <c r="D786" s="12">
        <v>22</v>
      </c>
      <c r="E786" s="12" t="s">
        <v>65</v>
      </c>
      <c r="F786" s="12" t="s">
        <v>15</v>
      </c>
      <c r="G786" s="12" t="s">
        <v>130</v>
      </c>
      <c r="H786" s="12" t="s">
        <v>62</v>
      </c>
      <c r="I786" s="12">
        <v>1</v>
      </c>
      <c r="J786" s="12">
        <v>40672</v>
      </c>
      <c r="K786" s="12">
        <v>81.06</v>
      </c>
      <c r="L786" s="12">
        <v>18</v>
      </c>
      <c r="M786" s="12">
        <v>42</v>
      </c>
      <c r="N786" s="12">
        <v>26</v>
      </c>
      <c r="O786" s="12" t="s">
        <v>21</v>
      </c>
      <c r="P786" s="12">
        <v>7.67</v>
      </c>
      <c r="Q786" s="12" t="s">
        <v>23</v>
      </c>
    </row>
    <row r="787" spans="1:17" x14ac:dyDescent="0.3">
      <c r="A787" s="12" t="s">
        <v>1638</v>
      </c>
      <c r="B787" s="12" t="s">
        <v>1639</v>
      </c>
      <c r="C787" s="12" t="s">
        <v>19</v>
      </c>
      <c r="D787" s="12">
        <v>24</v>
      </c>
      <c r="E787" s="12" t="s">
        <v>60</v>
      </c>
      <c r="F787" s="12" t="s">
        <v>17</v>
      </c>
      <c r="G787" s="12" t="s">
        <v>99</v>
      </c>
      <c r="H787" s="12" t="s">
        <v>57</v>
      </c>
      <c r="I787" s="12">
        <v>0</v>
      </c>
      <c r="J787" s="12">
        <v>56689</v>
      </c>
      <c r="K787" s="12">
        <v>69.27</v>
      </c>
      <c r="L787" s="12">
        <v>4</v>
      </c>
      <c r="M787" s="12">
        <v>18</v>
      </c>
      <c r="N787" s="12">
        <v>28</v>
      </c>
      <c r="O787" s="12" t="s">
        <v>21</v>
      </c>
      <c r="P787" s="12">
        <v>4.29</v>
      </c>
      <c r="Q787" s="12" t="s">
        <v>23</v>
      </c>
    </row>
    <row r="788" spans="1:17" x14ac:dyDescent="0.3">
      <c r="A788" s="12" t="s">
        <v>1640</v>
      </c>
      <c r="B788" s="12" t="s">
        <v>1641</v>
      </c>
      <c r="C788" s="12" t="s">
        <v>19</v>
      </c>
      <c r="D788" s="12">
        <v>47</v>
      </c>
      <c r="E788" s="12" t="s">
        <v>91</v>
      </c>
      <c r="F788" s="12" t="s">
        <v>13</v>
      </c>
      <c r="G788" s="12" t="s">
        <v>56</v>
      </c>
      <c r="H788" s="12" t="s">
        <v>77</v>
      </c>
      <c r="I788" s="12">
        <v>19</v>
      </c>
      <c r="J788" s="12">
        <v>43509</v>
      </c>
      <c r="K788" s="12">
        <v>92.48</v>
      </c>
      <c r="L788" s="12">
        <v>2</v>
      </c>
      <c r="M788" s="12">
        <v>32</v>
      </c>
      <c r="N788" s="12">
        <v>70</v>
      </c>
      <c r="O788" s="12" t="s">
        <v>21</v>
      </c>
      <c r="P788" s="12">
        <v>7.79</v>
      </c>
      <c r="Q788" s="12" t="s">
        <v>23</v>
      </c>
    </row>
    <row r="789" spans="1:17" x14ac:dyDescent="0.3">
      <c r="A789" s="12" t="s">
        <v>1642</v>
      </c>
      <c r="B789" s="12" t="s">
        <v>1643</v>
      </c>
      <c r="C789" s="12" t="s">
        <v>18</v>
      </c>
      <c r="D789" s="12">
        <v>56</v>
      </c>
      <c r="E789" s="12" t="s">
        <v>65</v>
      </c>
      <c r="F789" s="12" t="s">
        <v>12</v>
      </c>
      <c r="G789" s="12" t="s">
        <v>92</v>
      </c>
      <c r="H789" s="12" t="s">
        <v>77</v>
      </c>
      <c r="I789" s="12">
        <v>8</v>
      </c>
      <c r="J789" s="12">
        <v>116691</v>
      </c>
      <c r="K789" s="12">
        <v>67.64</v>
      </c>
      <c r="L789" s="12">
        <v>7</v>
      </c>
      <c r="M789" s="12">
        <v>33</v>
      </c>
      <c r="N789" s="12">
        <v>50</v>
      </c>
      <c r="O789" s="12" t="s">
        <v>21</v>
      </c>
      <c r="P789" s="12">
        <v>6.53</v>
      </c>
      <c r="Q789" s="12" t="s">
        <v>23</v>
      </c>
    </row>
    <row r="790" spans="1:17" x14ac:dyDescent="0.3">
      <c r="A790" s="12" t="s">
        <v>1644</v>
      </c>
      <c r="B790" s="12" t="s">
        <v>1645</v>
      </c>
      <c r="C790" s="12" t="s">
        <v>18</v>
      </c>
      <c r="D790" s="12">
        <v>25</v>
      </c>
      <c r="E790" s="12" t="s">
        <v>55</v>
      </c>
      <c r="F790" s="12" t="s">
        <v>13</v>
      </c>
      <c r="G790" s="12" t="s">
        <v>66</v>
      </c>
      <c r="H790" s="12" t="s">
        <v>57</v>
      </c>
      <c r="I790" s="12">
        <v>4</v>
      </c>
      <c r="J790" s="12">
        <v>42944</v>
      </c>
      <c r="K790" s="12">
        <v>83.22</v>
      </c>
      <c r="L790" s="12">
        <v>1</v>
      </c>
      <c r="M790" s="12">
        <v>8</v>
      </c>
      <c r="N790" s="12">
        <v>32</v>
      </c>
      <c r="O790" s="12" t="s">
        <v>20</v>
      </c>
      <c r="P790" s="12">
        <v>5.67</v>
      </c>
      <c r="Q790" s="12" t="s">
        <v>23</v>
      </c>
    </row>
    <row r="791" spans="1:17" x14ac:dyDescent="0.3">
      <c r="A791" s="12" t="s">
        <v>1646</v>
      </c>
      <c r="B791" s="12" t="s">
        <v>1647</v>
      </c>
      <c r="C791" s="12" t="s">
        <v>18</v>
      </c>
      <c r="D791" s="12">
        <v>30</v>
      </c>
      <c r="E791" s="12" t="s">
        <v>69</v>
      </c>
      <c r="F791" s="12" t="s">
        <v>16</v>
      </c>
      <c r="G791" s="12" t="s">
        <v>271</v>
      </c>
      <c r="H791" s="12" t="s">
        <v>62</v>
      </c>
      <c r="I791" s="12">
        <v>0</v>
      </c>
      <c r="J791" s="12">
        <v>45435</v>
      </c>
      <c r="K791" s="12">
        <v>77.319999999999993</v>
      </c>
      <c r="L791" s="12">
        <v>13</v>
      </c>
      <c r="M791" s="12">
        <v>37</v>
      </c>
      <c r="N791" s="12">
        <v>75</v>
      </c>
      <c r="O791" s="12" t="s">
        <v>20</v>
      </c>
      <c r="P791" s="12">
        <v>7.08</v>
      </c>
      <c r="Q791" s="12" t="s">
        <v>23</v>
      </c>
    </row>
    <row r="792" spans="1:17" x14ac:dyDescent="0.3">
      <c r="A792" s="12" t="s">
        <v>1648</v>
      </c>
      <c r="B792" s="12" t="s">
        <v>1649</v>
      </c>
      <c r="C792" s="12" t="s">
        <v>19</v>
      </c>
      <c r="D792" s="12">
        <v>44</v>
      </c>
      <c r="E792" s="12" t="s">
        <v>60</v>
      </c>
      <c r="F792" s="12" t="s">
        <v>13</v>
      </c>
      <c r="G792" s="12" t="s">
        <v>107</v>
      </c>
      <c r="H792" s="12" t="s">
        <v>77</v>
      </c>
      <c r="I792" s="12">
        <v>21</v>
      </c>
      <c r="J792" s="12">
        <v>99699</v>
      </c>
      <c r="K792" s="12">
        <v>82.66</v>
      </c>
      <c r="L792" s="12">
        <v>5</v>
      </c>
      <c r="M792" s="12">
        <v>18</v>
      </c>
      <c r="N792" s="12">
        <v>44</v>
      </c>
      <c r="O792" s="12" t="s">
        <v>22</v>
      </c>
      <c r="P792" s="12">
        <v>6.98</v>
      </c>
      <c r="Q792" s="12" t="s">
        <v>23</v>
      </c>
    </row>
    <row r="793" spans="1:17" x14ac:dyDescent="0.3">
      <c r="A793" s="12" t="s">
        <v>1650</v>
      </c>
      <c r="B793" s="12" t="s">
        <v>1651</v>
      </c>
      <c r="C793" s="12" t="s">
        <v>18</v>
      </c>
      <c r="D793" s="12">
        <v>58</v>
      </c>
      <c r="E793" s="12" t="s">
        <v>91</v>
      </c>
      <c r="F793" s="12" t="s">
        <v>12</v>
      </c>
      <c r="G793" s="12" t="s">
        <v>92</v>
      </c>
      <c r="H793" s="12" t="s">
        <v>77</v>
      </c>
      <c r="I793" s="12">
        <v>25</v>
      </c>
      <c r="J793" s="12">
        <v>143817</v>
      </c>
      <c r="K793" s="12">
        <v>79.489999999999995</v>
      </c>
      <c r="L793" s="12">
        <v>1</v>
      </c>
      <c r="M793" s="12">
        <v>39</v>
      </c>
      <c r="N793" s="12">
        <v>50</v>
      </c>
      <c r="O793" s="12" t="s">
        <v>22</v>
      </c>
      <c r="P793" s="12">
        <v>5.71</v>
      </c>
      <c r="Q793" s="12" t="s">
        <v>23</v>
      </c>
    </row>
    <row r="794" spans="1:17" x14ac:dyDescent="0.3">
      <c r="A794" s="12" t="s">
        <v>1652</v>
      </c>
      <c r="B794" s="12" t="s">
        <v>1653</v>
      </c>
      <c r="C794" s="12" t="s">
        <v>18</v>
      </c>
      <c r="D794" s="12">
        <v>53</v>
      </c>
      <c r="E794" s="12" t="s">
        <v>60</v>
      </c>
      <c r="F794" s="12" t="s">
        <v>15</v>
      </c>
      <c r="G794" s="12" t="s">
        <v>73</v>
      </c>
      <c r="H794" s="12" t="s">
        <v>62</v>
      </c>
      <c r="I794" s="12">
        <v>30</v>
      </c>
      <c r="J794" s="12">
        <v>66428</v>
      </c>
      <c r="K794" s="12">
        <v>66.48</v>
      </c>
      <c r="L794" s="12">
        <v>11</v>
      </c>
      <c r="M794" s="12">
        <v>15</v>
      </c>
      <c r="N794" s="12">
        <v>85</v>
      </c>
      <c r="O794" s="12" t="s">
        <v>22</v>
      </c>
      <c r="P794" s="12">
        <v>7.4</v>
      </c>
      <c r="Q794" s="12" t="s">
        <v>23</v>
      </c>
    </row>
    <row r="795" spans="1:17" x14ac:dyDescent="0.3">
      <c r="A795" s="12" t="s">
        <v>1654</v>
      </c>
      <c r="B795" s="12" t="s">
        <v>1655</v>
      </c>
      <c r="C795" s="12" t="s">
        <v>19</v>
      </c>
      <c r="D795" s="12">
        <v>55</v>
      </c>
      <c r="E795" s="12" t="s">
        <v>55</v>
      </c>
      <c r="F795" s="12" t="s">
        <v>17</v>
      </c>
      <c r="G795" s="12" t="s">
        <v>99</v>
      </c>
      <c r="H795" s="12" t="s">
        <v>77</v>
      </c>
      <c r="I795" s="12">
        <v>32</v>
      </c>
      <c r="J795" s="12">
        <v>45968</v>
      </c>
      <c r="K795" s="12">
        <v>88.22</v>
      </c>
      <c r="L795" s="12">
        <v>16</v>
      </c>
      <c r="M795" s="12">
        <v>4</v>
      </c>
      <c r="N795" s="12">
        <v>69</v>
      </c>
      <c r="O795" s="12" t="s">
        <v>21</v>
      </c>
      <c r="P795" s="12">
        <v>9.6999999999999993</v>
      </c>
      <c r="Q795" s="12" t="s">
        <v>24</v>
      </c>
    </row>
    <row r="796" spans="1:17" x14ac:dyDescent="0.3">
      <c r="A796" s="12" t="s">
        <v>1656</v>
      </c>
      <c r="B796" s="12" t="s">
        <v>1657</v>
      </c>
      <c r="C796" s="12" t="s">
        <v>19</v>
      </c>
      <c r="D796" s="12">
        <v>44</v>
      </c>
      <c r="E796" s="12" t="s">
        <v>80</v>
      </c>
      <c r="F796" s="12" t="s">
        <v>12</v>
      </c>
      <c r="G796" s="12" t="s">
        <v>152</v>
      </c>
      <c r="H796" s="12" t="s">
        <v>62</v>
      </c>
      <c r="I796" s="12">
        <v>12</v>
      </c>
      <c r="J796" s="12">
        <v>82006</v>
      </c>
      <c r="K796" s="12">
        <v>69.510000000000005</v>
      </c>
      <c r="L796" s="12">
        <v>20</v>
      </c>
      <c r="M796" s="12">
        <v>17</v>
      </c>
      <c r="N796" s="12">
        <v>115</v>
      </c>
      <c r="O796" s="12" t="s">
        <v>21</v>
      </c>
      <c r="P796" s="12">
        <v>8.7899999999999991</v>
      </c>
      <c r="Q796" s="12" t="s">
        <v>24</v>
      </c>
    </row>
    <row r="797" spans="1:17" x14ac:dyDescent="0.3">
      <c r="A797" s="12" t="s">
        <v>1658</v>
      </c>
      <c r="B797" s="12" t="s">
        <v>1659</v>
      </c>
      <c r="C797" s="12" t="s">
        <v>18</v>
      </c>
      <c r="D797" s="12">
        <v>52</v>
      </c>
      <c r="E797" s="12" t="s">
        <v>55</v>
      </c>
      <c r="F797" s="12" t="s">
        <v>13</v>
      </c>
      <c r="G797" s="12" t="s">
        <v>56</v>
      </c>
      <c r="H797" s="12" t="s">
        <v>86</v>
      </c>
      <c r="I797" s="12">
        <v>0</v>
      </c>
      <c r="J797" s="12">
        <v>78631</v>
      </c>
      <c r="K797" s="12">
        <v>67.77</v>
      </c>
      <c r="L797" s="12">
        <v>9</v>
      </c>
      <c r="M797" s="12">
        <v>0</v>
      </c>
      <c r="N797" s="12">
        <v>55</v>
      </c>
      <c r="O797" s="12" t="s">
        <v>22</v>
      </c>
      <c r="P797" s="12">
        <v>6.62</v>
      </c>
      <c r="Q797" s="12" t="s">
        <v>23</v>
      </c>
    </row>
    <row r="798" spans="1:17" x14ac:dyDescent="0.3">
      <c r="A798" s="12" t="s">
        <v>1660</v>
      </c>
      <c r="B798" s="12" t="s">
        <v>1661</v>
      </c>
      <c r="C798" s="12" t="s">
        <v>19</v>
      </c>
      <c r="D798" s="12">
        <v>52</v>
      </c>
      <c r="E798" s="12" t="s">
        <v>55</v>
      </c>
      <c r="F798" s="12" t="s">
        <v>15</v>
      </c>
      <c r="G798" s="12" t="s">
        <v>73</v>
      </c>
      <c r="H798" s="12" t="s">
        <v>62</v>
      </c>
      <c r="I798" s="12">
        <v>19</v>
      </c>
      <c r="J798" s="12">
        <v>121192</v>
      </c>
      <c r="K798" s="12">
        <v>74.19</v>
      </c>
      <c r="L798" s="12">
        <v>17</v>
      </c>
      <c r="M798" s="12">
        <v>14</v>
      </c>
      <c r="N798" s="12">
        <v>90</v>
      </c>
      <c r="O798" s="12" t="s">
        <v>21</v>
      </c>
      <c r="P798" s="12">
        <v>8.7200000000000006</v>
      </c>
      <c r="Q798" s="12" t="s">
        <v>24</v>
      </c>
    </row>
    <row r="799" spans="1:17" x14ac:dyDescent="0.3">
      <c r="A799" s="12" t="s">
        <v>1662</v>
      </c>
      <c r="B799" s="12" t="s">
        <v>1663</v>
      </c>
      <c r="C799" s="12" t="s">
        <v>19</v>
      </c>
      <c r="D799" s="12">
        <v>43</v>
      </c>
      <c r="E799" s="12" t="s">
        <v>69</v>
      </c>
      <c r="F799" s="12" t="s">
        <v>14</v>
      </c>
      <c r="G799" s="12" t="s">
        <v>85</v>
      </c>
      <c r="H799" s="12" t="s">
        <v>57</v>
      </c>
      <c r="I799" s="12">
        <v>18</v>
      </c>
      <c r="J799" s="12">
        <v>138958</v>
      </c>
      <c r="K799" s="12">
        <v>94.11</v>
      </c>
      <c r="L799" s="12">
        <v>11</v>
      </c>
      <c r="M799" s="12">
        <v>57</v>
      </c>
      <c r="N799" s="12">
        <v>64</v>
      </c>
      <c r="O799" s="12" t="s">
        <v>20</v>
      </c>
      <c r="P799" s="12">
        <v>7.11</v>
      </c>
      <c r="Q799" s="12" t="s">
        <v>23</v>
      </c>
    </row>
    <row r="800" spans="1:17" x14ac:dyDescent="0.3">
      <c r="A800" s="12" t="s">
        <v>1664</v>
      </c>
      <c r="B800" s="12" t="s">
        <v>1665</v>
      </c>
      <c r="C800" s="12" t="s">
        <v>18</v>
      </c>
      <c r="D800" s="12">
        <v>35</v>
      </c>
      <c r="E800" s="12" t="s">
        <v>80</v>
      </c>
      <c r="F800" s="12" t="s">
        <v>13</v>
      </c>
      <c r="G800" s="12" t="s">
        <v>107</v>
      </c>
      <c r="H800" s="12" t="s">
        <v>62</v>
      </c>
      <c r="I800" s="12">
        <v>8</v>
      </c>
      <c r="J800" s="12">
        <v>49529</v>
      </c>
      <c r="K800" s="12">
        <v>98</v>
      </c>
      <c r="L800" s="12">
        <v>17</v>
      </c>
      <c r="M800" s="12">
        <v>11</v>
      </c>
      <c r="N800" s="12">
        <v>55</v>
      </c>
      <c r="O800" s="12" t="s">
        <v>21</v>
      </c>
      <c r="P800" s="12">
        <v>9.74</v>
      </c>
      <c r="Q800" s="12" t="s">
        <v>24</v>
      </c>
    </row>
    <row r="801" spans="1:17" x14ac:dyDescent="0.3">
      <c r="A801" s="12" t="s">
        <v>1666</v>
      </c>
      <c r="B801" s="12" t="s">
        <v>1667</v>
      </c>
      <c r="C801" s="12" t="s">
        <v>19</v>
      </c>
      <c r="D801" s="12">
        <v>43</v>
      </c>
      <c r="E801" s="12" t="s">
        <v>65</v>
      </c>
      <c r="F801" s="12" t="s">
        <v>16</v>
      </c>
      <c r="G801" s="12" t="s">
        <v>181</v>
      </c>
      <c r="H801" s="12" t="s">
        <v>86</v>
      </c>
      <c r="I801" s="12">
        <v>11</v>
      </c>
      <c r="J801" s="12">
        <v>102283</v>
      </c>
      <c r="K801" s="12">
        <v>99.74</v>
      </c>
      <c r="L801" s="12">
        <v>4</v>
      </c>
      <c r="M801" s="12">
        <v>43</v>
      </c>
      <c r="N801" s="12">
        <v>29</v>
      </c>
      <c r="O801" s="12" t="s">
        <v>20</v>
      </c>
      <c r="P801" s="12">
        <v>5.55</v>
      </c>
      <c r="Q801" s="12" t="s">
        <v>23</v>
      </c>
    </row>
    <row r="802" spans="1:17" x14ac:dyDescent="0.3">
      <c r="A802" s="12" t="s">
        <v>1668</v>
      </c>
      <c r="B802" s="12" t="s">
        <v>1669</v>
      </c>
      <c r="C802" s="12" t="s">
        <v>18</v>
      </c>
      <c r="D802" s="12">
        <v>40</v>
      </c>
      <c r="E802" s="12" t="s">
        <v>65</v>
      </c>
      <c r="F802" s="12" t="s">
        <v>17</v>
      </c>
      <c r="G802" s="12" t="s">
        <v>102</v>
      </c>
      <c r="H802" s="12" t="s">
        <v>62</v>
      </c>
      <c r="I802" s="12">
        <v>11</v>
      </c>
      <c r="J802" s="12">
        <v>51298</v>
      </c>
      <c r="K802" s="12">
        <v>84.3</v>
      </c>
      <c r="L802" s="12">
        <v>17</v>
      </c>
      <c r="M802" s="12">
        <v>36</v>
      </c>
      <c r="N802" s="12">
        <v>90</v>
      </c>
      <c r="O802" s="12" t="s">
        <v>21</v>
      </c>
      <c r="P802" s="12">
        <v>9.85</v>
      </c>
      <c r="Q802" s="12" t="s">
        <v>24</v>
      </c>
    </row>
    <row r="803" spans="1:17" x14ac:dyDescent="0.3">
      <c r="A803" s="12" t="s">
        <v>1670</v>
      </c>
      <c r="B803" s="12" t="s">
        <v>1671</v>
      </c>
      <c r="C803" s="12" t="s">
        <v>19</v>
      </c>
      <c r="D803" s="12">
        <v>54</v>
      </c>
      <c r="E803" s="12" t="s">
        <v>91</v>
      </c>
      <c r="F803" s="12" t="s">
        <v>14</v>
      </c>
      <c r="G803" s="12" t="s">
        <v>85</v>
      </c>
      <c r="H803" s="12" t="s">
        <v>77</v>
      </c>
      <c r="I803" s="12">
        <v>18</v>
      </c>
      <c r="J803" s="12">
        <v>72482</v>
      </c>
      <c r="K803" s="12">
        <v>88.37</v>
      </c>
      <c r="L803" s="12">
        <v>7</v>
      </c>
      <c r="M803" s="12">
        <v>8</v>
      </c>
      <c r="N803" s="12">
        <v>49</v>
      </c>
      <c r="O803" s="12" t="s">
        <v>21</v>
      </c>
      <c r="P803" s="12">
        <v>6.76</v>
      </c>
      <c r="Q803" s="12" t="s">
        <v>23</v>
      </c>
    </row>
    <row r="804" spans="1:17" x14ac:dyDescent="0.3">
      <c r="A804" s="12" t="s">
        <v>1672</v>
      </c>
      <c r="B804" s="12" t="s">
        <v>1673</v>
      </c>
      <c r="C804" s="12" t="s">
        <v>18</v>
      </c>
      <c r="D804" s="12">
        <v>45</v>
      </c>
      <c r="E804" s="12" t="s">
        <v>60</v>
      </c>
      <c r="F804" s="12" t="s">
        <v>14</v>
      </c>
      <c r="G804" s="12" t="s">
        <v>248</v>
      </c>
      <c r="H804" s="12" t="s">
        <v>62</v>
      </c>
      <c r="I804" s="12">
        <v>17</v>
      </c>
      <c r="J804" s="12">
        <v>161714</v>
      </c>
      <c r="K804" s="12">
        <v>95.32</v>
      </c>
      <c r="L804" s="12">
        <v>2</v>
      </c>
      <c r="M804" s="12">
        <v>23</v>
      </c>
      <c r="N804" s="12">
        <v>62</v>
      </c>
      <c r="O804" s="12" t="s">
        <v>20</v>
      </c>
      <c r="P804" s="12">
        <v>6.72</v>
      </c>
      <c r="Q804" s="12" t="s">
        <v>23</v>
      </c>
    </row>
    <row r="805" spans="1:17" x14ac:dyDescent="0.3">
      <c r="A805" s="12" t="s">
        <v>1674</v>
      </c>
      <c r="B805" s="12" t="s">
        <v>1675</v>
      </c>
      <c r="C805" s="12" t="s">
        <v>19</v>
      </c>
      <c r="D805" s="12">
        <v>30</v>
      </c>
      <c r="E805" s="12" t="s">
        <v>69</v>
      </c>
      <c r="F805" s="12" t="s">
        <v>16</v>
      </c>
      <c r="G805" s="12" t="s">
        <v>181</v>
      </c>
      <c r="H805" s="12" t="s">
        <v>86</v>
      </c>
      <c r="I805" s="12">
        <v>1</v>
      </c>
      <c r="J805" s="12">
        <v>90629</v>
      </c>
      <c r="K805" s="12">
        <v>72.040000000000006</v>
      </c>
      <c r="L805" s="12">
        <v>3</v>
      </c>
      <c r="M805" s="12">
        <v>12</v>
      </c>
      <c r="N805" s="12">
        <v>10</v>
      </c>
      <c r="O805" s="12" t="s">
        <v>20</v>
      </c>
      <c r="P805" s="12">
        <v>4.26</v>
      </c>
      <c r="Q805" s="12" t="s">
        <v>23</v>
      </c>
    </row>
    <row r="806" spans="1:17" x14ac:dyDescent="0.3">
      <c r="A806" s="12" t="s">
        <v>1676</v>
      </c>
      <c r="B806" s="12" t="s">
        <v>1677</v>
      </c>
      <c r="C806" s="12" t="s">
        <v>18</v>
      </c>
      <c r="D806" s="12">
        <v>43</v>
      </c>
      <c r="E806" s="12" t="s">
        <v>69</v>
      </c>
      <c r="F806" s="12" t="s">
        <v>16</v>
      </c>
      <c r="G806" s="12" t="s">
        <v>76</v>
      </c>
      <c r="H806" s="12" t="s">
        <v>57</v>
      </c>
      <c r="I806" s="12">
        <v>22</v>
      </c>
      <c r="J806" s="12">
        <v>55552</v>
      </c>
      <c r="K806" s="12">
        <v>73.31</v>
      </c>
      <c r="L806" s="12">
        <v>1</v>
      </c>
      <c r="M806" s="12">
        <v>4</v>
      </c>
      <c r="N806" s="12">
        <v>12</v>
      </c>
      <c r="O806" s="12" t="s">
        <v>20</v>
      </c>
      <c r="P806" s="12">
        <v>5.61</v>
      </c>
      <c r="Q806" s="12" t="s">
        <v>23</v>
      </c>
    </row>
    <row r="807" spans="1:17" x14ac:dyDescent="0.3">
      <c r="A807" s="12" t="s">
        <v>1678</v>
      </c>
      <c r="B807" s="12" t="s">
        <v>1679</v>
      </c>
      <c r="C807" s="12" t="s">
        <v>19</v>
      </c>
      <c r="D807" s="12">
        <v>28</v>
      </c>
      <c r="E807" s="12" t="s">
        <v>91</v>
      </c>
      <c r="F807" s="12" t="s">
        <v>16</v>
      </c>
      <c r="G807" s="12" t="s">
        <v>181</v>
      </c>
      <c r="H807" s="12" t="s">
        <v>62</v>
      </c>
      <c r="I807" s="12">
        <v>6</v>
      </c>
      <c r="J807" s="12">
        <v>80610</v>
      </c>
      <c r="K807" s="12">
        <v>98.97</v>
      </c>
      <c r="L807" s="12">
        <v>16</v>
      </c>
      <c r="M807" s="12">
        <v>12</v>
      </c>
      <c r="N807" s="12">
        <v>63</v>
      </c>
      <c r="O807" s="12" t="s">
        <v>22</v>
      </c>
      <c r="P807" s="12">
        <v>8.32</v>
      </c>
      <c r="Q807" s="12" t="s">
        <v>23</v>
      </c>
    </row>
    <row r="808" spans="1:17" x14ac:dyDescent="0.3">
      <c r="A808" s="12" t="s">
        <v>1680</v>
      </c>
      <c r="B808" s="12" t="s">
        <v>1681</v>
      </c>
      <c r="C808" s="12" t="s">
        <v>18</v>
      </c>
      <c r="D808" s="12">
        <v>43</v>
      </c>
      <c r="E808" s="12" t="s">
        <v>80</v>
      </c>
      <c r="F808" s="12" t="s">
        <v>15</v>
      </c>
      <c r="G808" s="12" t="s">
        <v>61</v>
      </c>
      <c r="H808" s="12" t="s">
        <v>57</v>
      </c>
      <c r="I808" s="12">
        <v>3</v>
      </c>
      <c r="J808" s="12">
        <v>119915</v>
      </c>
      <c r="K808" s="12">
        <v>87.71</v>
      </c>
      <c r="L808" s="12">
        <v>9</v>
      </c>
      <c r="M808" s="12">
        <v>49</v>
      </c>
      <c r="N808" s="12">
        <v>103</v>
      </c>
      <c r="O808" s="12" t="s">
        <v>22</v>
      </c>
      <c r="P808" s="12">
        <v>7.38</v>
      </c>
      <c r="Q808" s="12" t="s">
        <v>23</v>
      </c>
    </row>
    <row r="809" spans="1:17" x14ac:dyDescent="0.3">
      <c r="A809" s="12" t="s">
        <v>1682</v>
      </c>
      <c r="B809" s="12" t="s">
        <v>1683</v>
      </c>
      <c r="C809" s="12" t="s">
        <v>19</v>
      </c>
      <c r="D809" s="12">
        <v>27</v>
      </c>
      <c r="E809" s="12" t="s">
        <v>60</v>
      </c>
      <c r="F809" s="12" t="s">
        <v>12</v>
      </c>
      <c r="G809" s="12" t="s">
        <v>152</v>
      </c>
      <c r="H809" s="12" t="s">
        <v>86</v>
      </c>
      <c r="I809" s="12">
        <v>1</v>
      </c>
      <c r="J809" s="12">
        <v>87337</v>
      </c>
      <c r="K809" s="12">
        <v>94.02</v>
      </c>
      <c r="L809" s="12">
        <v>7</v>
      </c>
      <c r="M809" s="12">
        <v>31</v>
      </c>
      <c r="N809" s="12">
        <v>110</v>
      </c>
      <c r="O809" s="12" t="s">
        <v>22</v>
      </c>
      <c r="P809" s="12">
        <v>8.08</v>
      </c>
      <c r="Q809" s="12" t="s">
        <v>23</v>
      </c>
    </row>
    <row r="810" spans="1:17" x14ac:dyDescent="0.3">
      <c r="A810" s="12" t="s">
        <v>1684</v>
      </c>
      <c r="B810" s="12" t="s">
        <v>1685</v>
      </c>
      <c r="C810" s="12" t="s">
        <v>18</v>
      </c>
      <c r="D810" s="12">
        <v>23</v>
      </c>
      <c r="E810" s="12" t="s">
        <v>65</v>
      </c>
      <c r="F810" s="12" t="s">
        <v>15</v>
      </c>
      <c r="G810" s="12" t="s">
        <v>61</v>
      </c>
      <c r="H810" s="12" t="s">
        <v>77</v>
      </c>
      <c r="I810" s="12">
        <v>0</v>
      </c>
      <c r="J810" s="12">
        <v>45879</v>
      </c>
      <c r="K810" s="12">
        <v>86.14</v>
      </c>
      <c r="L810" s="12">
        <v>8</v>
      </c>
      <c r="M810" s="12">
        <v>0</v>
      </c>
      <c r="N810" s="12">
        <v>117</v>
      </c>
      <c r="O810" s="12" t="s">
        <v>20</v>
      </c>
      <c r="P810" s="12">
        <v>8.27</v>
      </c>
      <c r="Q810" s="12" t="s">
        <v>23</v>
      </c>
    </row>
    <row r="811" spans="1:17" x14ac:dyDescent="0.3">
      <c r="A811" s="12" t="s">
        <v>1686</v>
      </c>
      <c r="B811" s="12" t="s">
        <v>1687</v>
      </c>
      <c r="C811" s="12" t="s">
        <v>19</v>
      </c>
      <c r="D811" s="12">
        <v>57</v>
      </c>
      <c r="E811" s="12" t="s">
        <v>69</v>
      </c>
      <c r="F811" s="12" t="s">
        <v>15</v>
      </c>
      <c r="G811" s="12" t="s">
        <v>130</v>
      </c>
      <c r="H811" s="12" t="s">
        <v>57</v>
      </c>
      <c r="I811" s="12">
        <v>18</v>
      </c>
      <c r="J811" s="12">
        <v>62409</v>
      </c>
      <c r="K811" s="12">
        <v>84.66</v>
      </c>
      <c r="L811" s="12">
        <v>11</v>
      </c>
      <c r="M811" s="12">
        <v>30</v>
      </c>
      <c r="N811" s="12">
        <v>69</v>
      </c>
      <c r="O811" s="12" t="s">
        <v>21</v>
      </c>
      <c r="P811" s="12">
        <v>8.77</v>
      </c>
      <c r="Q811" s="12" t="s">
        <v>24</v>
      </c>
    </row>
    <row r="812" spans="1:17" x14ac:dyDescent="0.3">
      <c r="A812" s="12" t="s">
        <v>1688</v>
      </c>
      <c r="B812" s="12" t="s">
        <v>1689</v>
      </c>
      <c r="C812" s="12" t="s">
        <v>19</v>
      </c>
      <c r="D812" s="12">
        <v>37</v>
      </c>
      <c r="E812" s="12" t="s">
        <v>69</v>
      </c>
      <c r="F812" s="12" t="s">
        <v>13</v>
      </c>
      <c r="G812" s="12" t="s">
        <v>107</v>
      </c>
      <c r="H812" s="12" t="s">
        <v>77</v>
      </c>
      <c r="I812" s="12">
        <v>11</v>
      </c>
      <c r="J812" s="12">
        <v>43992</v>
      </c>
      <c r="K812" s="12">
        <v>89.12</v>
      </c>
      <c r="L812" s="12">
        <v>1</v>
      </c>
      <c r="M812" s="12">
        <v>9</v>
      </c>
      <c r="N812" s="12">
        <v>24</v>
      </c>
      <c r="O812" s="12" t="s">
        <v>21</v>
      </c>
      <c r="P812" s="12">
        <v>5.2</v>
      </c>
      <c r="Q812" s="12" t="s">
        <v>23</v>
      </c>
    </row>
    <row r="813" spans="1:17" x14ac:dyDescent="0.3">
      <c r="A813" s="12" t="s">
        <v>1690</v>
      </c>
      <c r="B813" s="12" t="s">
        <v>1691</v>
      </c>
      <c r="C813" s="12" t="s">
        <v>18</v>
      </c>
      <c r="D813" s="12">
        <v>49</v>
      </c>
      <c r="E813" s="12" t="s">
        <v>80</v>
      </c>
      <c r="F813" s="12" t="s">
        <v>16</v>
      </c>
      <c r="G813" s="12" t="s">
        <v>76</v>
      </c>
      <c r="H813" s="12" t="s">
        <v>77</v>
      </c>
      <c r="I813" s="12">
        <v>25</v>
      </c>
      <c r="J813" s="12">
        <v>109083</v>
      </c>
      <c r="K813" s="12">
        <v>74</v>
      </c>
      <c r="L813" s="12">
        <v>19</v>
      </c>
      <c r="M813" s="12">
        <v>31</v>
      </c>
      <c r="N813" s="12">
        <v>87</v>
      </c>
      <c r="O813" s="12" t="s">
        <v>20</v>
      </c>
      <c r="P813" s="12">
        <v>8.85</v>
      </c>
      <c r="Q813" s="12" t="s">
        <v>24</v>
      </c>
    </row>
    <row r="814" spans="1:17" x14ac:dyDescent="0.3">
      <c r="A814" s="12" t="s">
        <v>1692</v>
      </c>
      <c r="B814" s="12" t="s">
        <v>1693</v>
      </c>
      <c r="C814" s="12" t="s">
        <v>19</v>
      </c>
      <c r="D814" s="12">
        <v>50</v>
      </c>
      <c r="E814" s="12" t="s">
        <v>80</v>
      </c>
      <c r="F814" s="12" t="s">
        <v>13</v>
      </c>
      <c r="G814" s="12" t="s">
        <v>66</v>
      </c>
      <c r="H814" s="12" t="s">
        <v>77</v>
      </c>
      <c r="I814" s="12">
        <v>25</v>
      </c>
      <c r="J814" s="12">
        <v>88324</v>
      </c>
      <c r="K814" s="12">
        <v>67.180000000000007</v>
      </c>
      <c r="L814" s="12">
        <v>17</v>
      </c>
      <c r="M814" s="12">
        <v>10</v>
      </c>
      <c r="N814" s="12">
        <v>60</v>
      </c>
      <c r="O814" s="12" t="s">
        <v>22</v>
      </c>
      <c r="P814" s="12">
        <v>8.26</v>
      </c>
      <c r="Q814" s="12" t="s">
        <v>23</v>
      </c>
    </row>
    <row r="815" spans="1:17" x14ac:dyDescent="0.3">
      <c r="A815" s="12" t="s">
        <v>1694</v>
      </c>
      <c r="B815" s="12" t="s">
        <v>1695</v>
      </c>
      <c r="C815" s="12" t="s">
        <v>19</v>
      </c>
      <c r="D815" s="12">
        <v>52</v>
      </c>
      <c r="E815" s="12" t="s">
        <v>69</v>
      </c>
      <c r="F815" s="12" t="s">
        <v>15</v>
      </c>
      <c r="G815" s="12" t="s">
        <v>61</v>
      </c>
      <c r="H815" s="12" t="s">
        <v>77</v>
      </c>
      <c r="I815" s="12">
        <v>28</v>
      </c>
      <c r="J815" s="12">
        <v>131096</v>
      </c>
      <c r="K815" s="12">
        <v>66.819999999999993</v>
      </c>
      <c r="L815" s="12">
        <v>2</v>
      </c>
      <c r="M815" s="12">
        <v>54</v>
      </c>
      <c r="N815" s="12">
        <v>117</v>
      </c>
      <c r="O815" s="12" t="s">
        <v>20</v>
      </c>
      <c r="P815" s="12">
        <v>6.47</v>
      </c>
      <c r="Q815" s="12" t="s">
        <v>23</v>
      </c>
    </row>
    <row r="816" spans="1:17" x14ac:dyDescent="0.3">
      <c r="A816" s="12" t="s">
        <v>1696</v>
      </c>
      <c r="B816" s="12" t="s">
        <v>1697</v>
      </c>
      <c r="C816" s="12" t="s">
        <v>18</v>
      </c>
      <c r="D816" s="12">
        <v>58</v>
      </c>
      <c r="E816" s="12" t="s">
        <v>55</v>
      </c>
      <c r="F816" s="12" t="s">
        <v>12</v>
      </c>
      <c r="G816" s="12" t="s">
        <v>152</v>
      </c>
      <c r="H816" s="12" t="s">
        <v>77</v>
      </c>
      <c r="I816" s="12">
        <v>0</v>
      </c>
      <c r="J816" s="12">
        <v>98211</v>
      </c>
      <c r="K816" s="12">
        <v>87.78</v>
      </c>
      <c r="L816" s="12">
        <v>19</v>
      </c>
      <c r="M816" s="12">
        <v>45</v>
      </c>
      <c r="N816" s="12">
        <v>51</v>
      </c>
      <c r="O816" s="12" t="s">
        <v>20</v>
      </c>
      <c r="P816" s="12">
        <v>7.01</v>
      </c>
      <c r="Q816" s="12" t="s">
        <v>23</v>
      </c>
    </row>
    <row r="817" spans="1:21" x14ac:dyDescent="0.3">
      <c r="A817" s="12" t="s">
        <v>1698</v>
      </c>
      <c r="B817" s="12" t="s">
        <v>1699</v>
      </c>
      <c r="C817" s="12" t="s">
        <v>18</v>
      </c>
      <c r="D817" s="12">
        <v>40</v>
      </c>
      <c r="E817" s="12" t="s">
        <v>80</v>
      </c>
      <c r="F817" s="12" t="s">
        <v>14</v>
      </c>
      <c r="G817" s="12" t="s">
        <v>70</v>
      </c>
      <c r="H817" s="12" t="s">
        <v>86</v>
      </c>
      <c r="I817" s="12">
        <v>10</v>
      </c>
      <c r="J817" s="12">
        <v>126309</v>
      </c>
      <c r="K817" s="12">
        <v>87.33</v>
      </c>
      <c r="L817" s="12">
        <v>9</v>
      </c>
      <c r="M817" s="12">
        <v>33</v>
      </c>
      <c r="N817" s="12">
        <v>114</v>
      </c>
      <c r="O817" s="12" t="s">
        <v>21</v>
      </c>
      <c r="P817" s="12">
        <v>9.0500000000000007</v>
      </c>
      <c r="Q817" s="12" t="s">
        <v>24</v>
      </c>
    </row>
    <row r="818" spans="1:21" x14ac:dyDescent="0.3">
      <c r="A818" s="12" t="s">
        <v>1700</v>
      </c>
      <c r="B818" s="12" t="s">
        <v>1701</v>
      </c>
      <c r="C818" s="12" t="s">
        <v>19</v>
      </c>
      <c r="D818" s="12">
        <v>30</v>
      </c>
      <c r="E818" s="12" t="s">
        <v>60</v>
      </c>
      <c r="F818" s="12" t="s">
        <v>13</v>
      </c>
      <c r="G818" s="12" t="s">
        <v>107</v>
      </c>
      <c r="H818" s="12" t="s">
        <v>77</v>
      </c>
      <c r="I818" s="12">
        <v>2</v>
      </c>
      <c r="J818" s="12">
        <v>66581</v>
      </c>
      <c r="K818" s="12">
        <v>70.069999999999993</v>
      </c>
      <c r="L818" s="12">
        <v>12</v>
      </c>
      <c r="M818" s="12">
        <v>36</v>
      </c>
      <c r="N818" s="12">
        <v>88</v>
      </c>
      <c r="O818" s="12" t="s">
        <v>22</v>
      </c>
      <c r="P818" s="12">
        <v>7.55</v>
      </c>
      <c r="Q818" s="12" t="s">
        <v>23</v>
      </c>
    </row>
    <row r="819" spans="1:21" x14ac:dyDescent="0.3">
      <c r="A819" s="12" t="s">
        <v>1702</v>
      </c>
      <c r="B819" s="12" t="s">
        <v>1703</v>
      </c>
      <c r="C819" s="12" t="s">
        <v>19</v>
      </c>
      <c r="D819" s="12">
        <v>38</v>
      </c>
      <c r="E819" s="12" t="s">
        <v>65</v>
      </c>
      <c r="F819" s="12" t="s">
        <v>17</v>
      </c>
      <c r="G819" s="12" t="s">
        <v>135</v>
      </c>
      <c r="H819" s="12" t="s">
        <v>57</v>
      </c>
      <c r="I819" s="12">
        <v>17</v>
      </c>
      <c r="J819" s="12">
        <v>132839</v>
      </c>
      <c r="K819" s="12">
        <v>86.92</v>
      </c>
      <c r="L819" s="12">
        <v>5</v>
      </c>
      <c r="M819" s="12">
        <v>43</v>
      </c>
      <c r="N819" s="12">
        <v>43</v>
      </c>
      <c r="O819" s="12" t="s">
        <v>22</v>
      </c>
      <c r="P819" s="12">
        <v>6.7</v>
      </c>
      <c r="Q819" s="12" t="s">
        <v>23</v>
      </c>
    </row>
    <row r="820" spans="1:21" x14ac:dyDescent="0.3">
      <c r="A820" s="12" t="s">
        <v>1704</v>
      </c>
      <c r="B820" s="12" t="s">
        <v>1705</v>
      </c>
      <c r="C820" s="12" t="s">
        <v>18</v>
      </c>
      <c r="D820" s="12">
        <v>42</v>
      </c>
      <c r="E820" s="12" t="s">
        <v>69</v>
      </c>
      <c r="F820" s="12" t="s">
        <v>13</v>
      </c>
      <c r="G820" s="12" t="s">
        <v>56</v>
      </c>
      <c r="H820" s="12" t="s">
        <v>57</v>
      </c>
      <c r="I820" s="12">
        <v>18</v>
      </c>
      <c r="J820" s="12">
        <v>64503</v>
      </c>
      <c r="K820" s="12">
        <v>91.13</v>
      </c>
      <c r="L820" s="12">
        <v>9</v>
      </c>
      <c r="M820" s="12">
        <v>35</v>
      </c>
      <c r="N820" s="12">
        <v>91</v>
      </c>
      <c r="O820" s="12" t="s">
        <v>20</v>
      </c>
      <c r="P820" s="12">
        <v>8.93</v>
      </c>
      <c r="Q820" s="12" t="s">
        <v>24</v>
      </c>
    </row>
    <row r="821" spans="1:21" x14ac:dyDescent="0.3">
      <c r="A821" s="12" t="s">
        <v>1706</v>
      </c>
      <c r="B821" s="12" t="s">
        <v>1707</v>
      </c>
      <c r="C821" s="12" t="s">
        <v>19</v>
      </c>
      <c r="D821" s="12">
        <v>24</v>
      </c>
      <c r="E821" s="12" t="s">
        <v>55</v>
      </c>
      <c r="F821" s="12" t="s">
        <v>15</v>
      </c>
      <c r="G821" s="12" t="s">
        <v>73</v>
      </c>
      <c r="H821" s="12" t="s">
        <v>86</v>
      </c>
      <c r="I821" s="12">
        <v>3</v>
      </c>
      <c r="J821" s="12">
        <v>120236</v>
      </c>
      <c r="K821" s="12">
        <v>77.87</v>
      </c>
      <c r="L821" s="12">
        <v>13</v>
      </c>
      <c r="M821" s="12">
        <v>40</v>
      </c>
      <c r="N821" s="12">
        <v>87</v>
      </c>
      <c r="O821" s="12" t="s">
        <v>21</v>
      </c>
      <c r="P821" s="12">
        <v>6.69</v>
      </c>
      <c r="Q821" s="12" t="s">
        <v>23</v>
      </c>
    </row>
    <row r="822" spans="1:21" x14ac:dyDescent="0.3">
      <c r="A822" s="12" t="s">
        <v>1708</v>
      </c>
      <c r="B822" s="12" t="s">
        <v>1709</v>
      </c>
      <c r="C822" s="12" t="s">
        <v>18</v>
      </c>
      <c r="D822" s="12">
        <v>28</v>
      </c>
      <c r="E822" s="12" t="s">
        <v>80</v>
      </c>
      <c r="F822" s="12" t="s">
        <v>14</v>
      </c>
      <c r="G822" s="12" t="s">
        <v>248</v>
      </c>
      <c r="H822" s="12" t="s">
        <v>57</v>
      </c>
      <c r="I822" s="12">
        <v>1</v>
      </c>
      <c r="J822" s="12">
        <v>131701</v>
      </c>
      <c r="K822" s="12">
        <v>96</v>
      </c>
      <c r="L822" s="12">
        <v>11</v>
      </c>
      <c r="M822" s="12">
        <v>45</v>
      </c>
      <c r="N822" s="12">
        <v>114</v>
      </c>
      <c r="O822" s="12" t="s">
        <v>22</v>
      </c>
      <c r="P822" s="12">
        <v>8.6300000000000008</v>
      </c>
      <c r="Q822" s="12" t="s">
        <v>23</v>
      </c>
    </row>
    <row r="823" spans="1:21" x14ac:dyDescent="0.3">
      <c r="A823" s="12" t="s">
        <v>1710</v>
      </c>
      <c r="B823" s="12" t="s">
        <v>1711</v>
      </c>
      <c r="C823" s="12" t="s">
        <v>19</v>
      </c>
      <c r="D823" s="12">
        <v>51</v>
      </c>
      <c r="E823" s="12" t="s">
        <v>80</v>
      </c>
      <c r="F823" s="12" t="s">
        <v>15</v>
      </c>
      <c r="G823" s="12" t="s">
        <v>61</v>
      </c>
      <c r="H823" s="12" t="s">
        <v>77</v>
      </c>
      <c r="I823" s="12">
        <v>29</v>
      </c>
      <c r="J823" s="12">
        <v>141676</v>
      </c>
      <c r="K823" s="12">
        <v>68.95</v>
      </c>
      <c r="L823" s="12">
        <v>10</v>
      </c>
      <c r="M823" s="12">
        <v>19</v>
      </c>
      <c r="N823" s="12">
        <v>22</v>
      </c>
      <c r="O823" s="12" t="s">
        <v>20</v>
      </c>
      <c r="P823" s="12">
        <v>6.14</v>
      </c>
      <c r="Q823" s="12" t="s">
        <v>23</v>
      </c>
    </row>
    <row r="824" spans="1:21" x14ac:dyDescent="0.3">
      <c r="A824" s="12" t="s">
        <v>1712</v>
      </c>
      <c r="B824" s="12" t="s">
        <v>1713</v>
      </c>
      <c r="C824" s="12" t="s">
        <v>18</v>
      </c>
      <c r="D824" s="12">
        <v>53</v>
      </c>
      <c r="E824" s="12" t="s">
        <v>55</v>
      </c>
      <c r="F824" s="12" t="s">
        <v>13</v>
      </c>
      <c r="G824" s="12" t="s">
        <v>107</v>
      </c>
      <c r="H824" s="12" t="s">
        <v>57</v>
      </c>
      <c r="I824" s="12">
        <v>24</v>
      </c>
      <c r="J824" s="12">
        <v>60575</v>
      </c>
      <c r="K824" s="12">
        <v>87.18</v>
      </c>
      <c r="L824" s="12">
        <v>6</v>
      </c>
      <c r="M824" s="12">
        <v>42</v>
      </c>
      <c r="N824" s="12">
        <v>97</v>
      </c>
      <c r="O824" s="12" t="s">
        <v>20</v>
      </c>
      <c r="P824" s="12">
        <v>7.85</v>
      </c>
      <c r="Q824" s="12" t="s">
        <v>23</v>
      </c>
    </row>
    <row r="825" spans="1:21" x14ac:dyDescent="0.3">
      <c r="A825" s="12" t="s">
        <v>1714</v>
      </c>
      <c r="B825" s="12" t="s">
        <v>1715</v>
      </c>
      <c r="C825" s="12" t="s">
        <v>19</v>
      </c>
      <c r="D825" s="12">
        <v>22</v>
      </c>
      <c r="E825" s="12" t="s">
        <v>65</v>
      </c>
      <c r="F825" s="12" t="s">
        <v>15</v>
      </c>
      <c r="G825" s="12" t="s">
        <v>73</v>
      </c>
      <c r="H825" s="12" t="s">
        <v>77</v>
      </c>
      <c r="I825" s="12">
        <v>0</v>
      </c>
      <c r="J825" s="12">
        <v>144107</v>
      </c>
      <c r="K825" s="12">
        <v>88.33</v>
      </c>
      <c r="L825" s="12">
        <v>14</v>
      </c>
      <c r="M825" s="12">
        <v>34</v>
      </c>
      <c r="N825" s="12">
        <v>105</v>
      </c>
      <c r="O825" s="12" t="s">
        <v>22</v>
      </c>
      <c r="P825" s="12">
        <v>8.9</v>
      </c>
      <c r="Q825" s="12" t="s">
        <v>23</v>
      </c>
      <c r="S825" s="1"/>
      <c r="T825" s="2"/>
      <c r="U825" s="3"/>
    </row>
    <row r="826" spans="1:21" x14ac:dyDescent="0.3">
      <c r="A826" s="12" t="s">
        <v>1716</v>
      </c>
      <c r="B826" s="12" t="s">
        <v>1717</v>
      </c>
      <c r="C826" s="12" t="s">
        <v>19</v>
      </c>
      <c r="D826" s="12">
        <v>52</v>
      </c>
      <c r="E826" s="12" t="s">
        <v>91</v>
      </c>
      <c r="F826" s="12" t="s">
        <v>16</v>
      </c>
      <c r="G826" s="12" t="s">
        <v>76</v>
      </c>
      <c r="H826" s="12" t="s">
        <v>62</v>
      </c>
      <c r="I826" s="12">
        <v>0</v>
      </c>
      <c r="J826" s="12">
        <v>96341</v>
      </c>
      <c r="K826" s="12">
        <v>77.86</v>
      </c>
      <c r="L826" s="12">
        <v>3</v>
      </c>
      <c r="M826" s="12">
        <v>30</v>
      </c>
      <c r="N826" s="12">
        <v>14</v>
      </c>
      <c r="O826" s="12" t="s">
        <v>22</v>
      </c>
      <c r="P826" s="12">
        <v>4.3600000000000003</v>
      </c>
      <c r="Q826" s="12" t="s">
        <v>23</v>
      </c>
      <c r="S826" s="4"/>
      <c r="T826" s="5"/>
      <c r="U826" s="6"/>
    </row>
    <row r="827" spans="1:21" x14ac:dyDescent="0.3">
      <c r="A827" s="12" t="s">
        <v>1718</v>
      </c>
      <c r="B827" s="12" t="s">
        <v>1719</v>
      </c>
      <c r="C827" s="12" t="s">
        <v>18</v>
      </c>
      <c r="D827" s="12">
        <v>23</v>
      </c>
      <c r="E827" s="12" t="s">
        <v>65</v>
      </c>
      <c r="F827" s="12" t="s">
        <v>15</v>
      </c>
      <c r="G827" s="12" t="s">
        <v>130</v>
      </c>
      <c r="H827" s="12" t="s">
        <v>77</v>
      </c>
      <c r="I827" s="12">
        <v>0</v>
      </c>
      <c r="J827" s="12">
        <v>142538</v>
      </c>
      <c r="K827" s="12">
        <v>76.14</v>
      </c>
      <c r="L827" s="12">
        <v>17</v>
      </c>
      <c r="M827" s="12">
        <v>41</v>
      </c>
      <c r="N827" s="12">
        <v>87</v>
      </c>
      <c r="O827" s="12" t="s">
        <v>21</v>
      </c>
      <c r="P827" s="12">
        <v>8</v>
      </c>
      <c r="Q827" s="12" t="s">
        <v>23</v>
      </c>
      <c r="S827" s="4"/>
      <c r="T827" s="5"/>
      <c r="U827" s="6"/>
    </row>
    <row r="828" spans="1:21" x14ac:dyDescent="0.3">
      <c r="A828" s="12" t="s">
        <v>1720</v>
      </c>
      <c r="B828" s="12" t="s">
        <v>1721</v>
      </c>
      <c r="C828" s="12" t="s">
        <v>18</v>
      </c>
      <c r="D828" s="12">
        <v>46</v>
      </c>
      <c r="E828" s="12" t="s">
        <v>60</v>
      </c>
      <c r="F828" s="12" t="s">
        <v>15</v>
      </c>
      <c r="G828" s="12" t="s">
        <v>61</v>
      </c>
      <c r="H828" s="12" t="s">
        <v>77</v>
      </c>
      <c r="I828" s="12">
        <v>11</v>
      </c>
      <c r="J828" s="12">
        <v>56725</v>
      </c>
      <c r="K828" s="12">
        <v>65.27</v>
      </c>
      <c r="L828" s="12">
        <v>12</v>
      </c>
      <c r="M828" s="12">
        <v>43</v>
      </c>
      <c r="N828" s="12">
        <v>28</v>
      </c>
      <c r="O828" s="12" t="s">
        <v>20</v>
      </c>
      <c r="P828" s="12">
        <v>6.32</v>
      </c>
      <c r="Q828" s="12" t="s">
        <v>23</v>
      </c>
      <c r="S828" s="4"/>
      <c r="T828" s="5"/>
      <c r="U828" s="6"/>
    </row>
    <row r="829" spans="1:21" x14ac:dyDescent="0.3">
      <c r="A829" s="12" t="s">
        <v>1722</v>
      </c>
      <c r="B829" s="12" t="s">
        <v>1723</v>
      </c>
      <c r="C829" s="12" t="s">
        <v>18</v>
      </c>
      <c r="D829" s="12">
        <v>43</v>
      </c>
      <c r="E829" s="12" t="s">
        <v>65</v>
      </c>
      <c r="F829" s="12" t="s">
        <v>13</v>
      </c>
      <c r="G829" s="12" t="s">
        <v>107</v>
      </c>
      <c r="H829" s="12" t="s">
        <v>86</v>
      </c>
      <c r="I829" s="12">
        <v>6</v>
      </c>
      <c r="J829" s="12">
        <v>70312</v>
      </c>
      <c r="K829" s="12">
        <v>76.27</v>
      </c>
      <c r="L829" s="12">
        <v>10</v>
      </c>
      <c r="M829" s="12">
        <v>7</v>
      </c>
      <c r="N829" s="12">
        <v>112</v>
      </c>
      <c r="O829" s="12" t="s">
        <v>22</v>
      </c>
      <c r="P829" s="12">
        <v>7.11</v>
      </c>
      <c r="Q829" s="12" t="s">
        <v>23</v>
      </c>
      <c r="S829" s="4"/>
      <c r="T829" s="5"/>
      <c r="U829" s="6"/>
    </row>
    <row r="830" spans="1:21" x14ac:dyDescent="0.3">
      <c r="A830" s="12" t="s">
        <v>1724</v>
      </c>
      <c r="B830" s="12" t="s">
        <v>1725</v>
      </c>
      <c r="C830" s="12" t="s">
        <v>18</v>
      </c>
      <c r="D830" s="12">
        <v>55</v>
      </c>
      <c r="E830" s="12" t="s">
        <v>65</v>
      </c>
      <c r="F830" s="12" t="s">
        <v>12</v>
      </c>
      <c r="G830" s="12" t="s">
        <v>152</v>
      </c>
      <c r="H830" s="12" t="s">
        <v>57</v>
      </c>
      <c r="I830" s="12">
        <v>29</v>
      </c>
      <c r="J830" s="12">
        <v>145852</v>
      </c>
      <c r="K830" s="12">
        <v>74.91</v>
      </c>
      <c r="L830" s="12">
        <v>5</v>
      </c>
      <c r="M830" s="12">
        <v>57</v>
      </c>
      <c r="N830" s="12">
        <v>23</v>
      </c>
      <c r="O830" s="12" t="s">
        <v>20</v>
      </c>
      <c r="P830" s="12">
        <v>6.02</v>
      </c>
      <c r="Q830" s="12" t="s">
        <v>23</v>
      </c>
      <c r="S830" s="4"/>
      <c r="T830" s="5"/>
      <c r="U830" s="6"/>
    </row>
    <row r="831" spans="1:21" x14ac:dyDescent="0.3">
      <c r="A831" s="12" t="s">
        <v>1726</v>
      </c>
      <c r="B831" s="12" t="s">
        <v>1727</v>
      </c>
      <c r="C831" s="12" t="s">
        <v>18</v>
      </c>
      <c r="D831" s="12">
        <v>32</v>
      </c>
      <c r="E831" s="12" t="s">
        <v>80</v>
      </c>
      <c r="F831" s="12" t="s">
        <v>13</v>
      </c>
      <c r="G831" s="12" t="s">
        <v>66</v>
      </c>
      <c r="H831" s="12" t="s">
        <v>57</v>
      </c>
      <c r="I831" s="12">
        <v>7</v>
      </c>
      <c r="J831" s="12">
        <v>86539</v>
      </c>
      <c r="K831" s="12">
        <v>67.86</v>
      </c>
      <c r="L831" s="12">
        <v>9</v>
      </c>
      <c r="M831" s="12">
        <v>44</v>
      </c>
      <c r="N831" s="12">
        <v>81</v>
      </c>
      <c r="O831" s="12" t="s">
        <v>21</v>
      </c>
      <c r="P831" s="12">
        <v>5.73</v>
      </c>
      <c r="Q831" s="12" t="s">
        <v>23</v>
      </c>
      <c r="S831" s="4"/>
      <c r="T831" s="5"/>
      <c r="U831" s="6"/>
    </row>
    <row r="832" spans="1:21" x14ac:dyDescent="0.3">
      <c r="A832" s="12" t="s">
        <v>1728</v>
      </c>
      <c r="B832" s="12" t="s">
        <v>1729</v>
      </c>
      <c r="C832" s="12" t="s">
        <v>18</v>
      </c>
      <c r="D832" s="12">
        <v>22</v>
      </c>
      <c r="E832" s="12" t="s">
        <v>91</v>
      </c>
      <c r="F832" s="12" t="s">
        <v>16</v>
      </c>
      <c r="G832" s="12" t="s">
        <v>271</v>
      </c>
      <c r="H832" s="12" t="s">
        <v>57</v>
      </c>
      <c r="I832" s="12">
        <v>0</v>
      </c>
      <c r="J832" s="12">
        <v>70563</v>
      </c>
      <c r="K832" s="12">
        <v>98.78</v>
      </c>
      <c r="L832" s="12">
        <v>20</v>
      </c>
      <c r="M832" s="12">
        <v>47</v>
      </c>
      <c r="N832" s="12">
        <v>24</v>
      </c>
      <c r="O832" s="12" t="s">
        <v>21</v>
      </c>
      <c r="P832" s="12">
        <v>8.94</v>
      </c>
      <c r="Q832" s="12" t="s">
        <v>23</v>
      </c>
      <c r="S832" s="4"/>
      <c r="T832" s="5"/>
      <c r="U832" s="6"/>
    </row>
    <row r="833" spans="1:21" x14ac:dyDescent="0.3">
      <c r="A833" s="12" t="s">
        <v>1730</v>
      </c>
      <c r="B833" s="12" t="s">
        <v>1731</v>
      </c>
      <c r="C833" s="12" t="s">
        <v>18</v>
      </c>
      <c r="D833" s="12">
        <v>57</v>
      </c>
      <c r="E833" s="12" t="s">
        <v>91</v>
      </c>
      <c r="F833" s="12" t="s">
        <v>12</v>
      </c>
      <c r="G833" s="12" t="s">
        <v>92</v>
      </c>
      <c r="H833" s="12" t="s">
        <v>77</v>
      </c>
      <c r="I833" s="12">
        <v>20</v>
      </c>
      <c r="J833" s="12">
        <v>114080</v>
      </c>
      <c r="K833" s="12">
        <v>71.400000000000006</v>
      </c>
      <c r="L833" s="12">
        <v>2</v>
      </c>
      <c r="M833" s="12">
        <v>46</v>
      </c>
      <c r="N833" s="12">
        <v>37</v>
      </c>
      <c r="O833" s="12" t="s">
        <v>22</v>
      </c>
      <c r="P833" s="12">
        <v>4.8899999999999997</v>
      </c>
      <c r="Q833" s="12" t="s">
        <v>23</v>
      </c>
      <c r="S833" s="4"/>
      <c r="T833" s="5"/>
      <c r="U833" s="6"/>
    </row>
    <row r="834" spans="1:21" x14ac:dyDescent="0.3">
      <c r="A834" s="12" t="s">
        <v>1732</v>
      </c>
      <c r="B834" s="12" t="s">
        <v>1733</v>
      </c>
      <c r="C834" s="12" t="s">
        <v>19</v>
      </c>
      <c r="D834" s="12">
        <v>33</v>
      </c>
      <c r="E834" s="12" t="s">
        <v>69</v>
      </c>
      <c r="F834" s="12" t="s">
        <v>13</v>
      </c>
      <c r="G834" s="12" t="s">
        <v>66</v>
      </c>
      <c r="H834" s="12" t="s">
        <v>62</v>
      </c>
      <c r="I834" s="12">
        <v>5</v>
      </c>
      <c r="J834" s="12">
        <v>45619</v>
      </c>
      <c r="K834" s="12">
        <v>70.83</v>
      </c>
      <c r="L834" s="12">
        <v>1</v>
      </c>
      <c r="M834" s="12">
        <v>31</v>
      </c>
      <c r="N834" s="12">
        <v>115</v>
      </c>
      <c r="O834" s="12" t="s">
        <v>21</v>
      </c>
      <c r="P834" s="12">
        <v>6.81</v>
      </c>
      <c r="Q834" s="12" t="s">
        <v>23</v>
      </c>
      <c r="S834" s="4"/>
      <c r="T834" s="5"/>
      <c r="U834" s="6"/>
    </row>
    <row r="835" spans="1:21" x14ac:dyDescent="0.3">
      <c r="A835" s="12" t="s">
        <v>1734</v>
      </c>
      <c r="B835" s="12" t="s">
        <v>1735</v>
      </c>
      <c r="C835" s="12" t="s">
        <v>18</v>
      </c>
      <c r="D835" s="12">
        <v>44</v>
      </c>
      <c r="E835" s="12" t="s">
        <v>91</v>
      </c>
      <c r="F835" s="12" t="s">
        <v>15</v>
      </c>
      <c r="G835" s="12" t="s">
        <v>73</v>
      </c>
      <c r="H835" s="12" t="s">
        <v>62</v>
      </c>
      <c r="I835" s="12">
        <v>5</v>
      </c>
      <c r="J835" s="12">
        <v>79519</v>
      </c>
      <c r="K835" s="12">
        <v>75.58</v>
      </c>
      <c r="L835" s="12">
        <v>14</v>
      </c>
      <c r="M835" s="12">
        <v>43</v>
      </c>
      <c r="N835" s="12">
        <v>75</v>
      </c>
      <c r="O835" s="12" t="s">
        <v>21</v>
      </c>
      <c r="P835" s="12">
        <v>8.07</v>
      </c>
      <c r="Q835" s="12" t="s">
        <v>23</v>
      </c>
      <c r="S835" s="4"/>
      <c r="T835" s="5"/>
      <c r="U835" s="6"/>
    </row>
    <row r="836" spans="1:21" x14ac:dyDescent="0.3">
      <c r="A836" s="12" t="s">
        <v>1736</v>
      </c>
      <c r="B836" s="12" t="s">
        <v>1737</v>
      </c>
      <c r="C836" s="12" t="s">
        <v>19</v>
      </c>
      <c r="D836" s="12">
        <v>49</v>
      </c>
      <c r="E836" s="12" t="s">
        <v>65</v>
      </c>
      <c r="F836" s="12" t="s">
        <v>16</v>
      </c>
      <c r="G836" s="12" t="s">
        <v>181</v>
      </c>
      <c r="H836" s="12" t="s">
        <v>86</v>
      </c>
      <c r="I836" s="12">
        <v>26</v>
      </c>
      <c r="J836" s="12">
        <v>50532</v>
      </c>
      <c r="K836" s="12">
        <v>71.069999999999993</v>
      </c>
      <c r="L836" s="12">
        <v>11</v>
      </c>
      <c r="M836" s="12">
        <v>37</v>
      </c>
      <c r="N836" s="12">
        <v>113</v>
      </c>
      <c r="O836" s="12" t="s">
        <v>22</v>
      </c>
      <c r="P836" s="12">
        <v>7.81</v>
      </c>
      <c r="Q836" s="12" t="s">
        <v>23</v>
      </c>
      <c r="S836" s="4"/>
      <c r="T836" s="5"/>
      <c r="U836" s="6"/>
    </row>
    <row r="837" spans="1:21" x14ac:dyDescent="0.3">
      <c r="A837" s="12" t="s">
        <v>1738</v>
      </c>
      <c r="B837" s="12" t="s">
        <v>1739</v>
      </c>
      <c r="C837" s="12" t="s">
        <v>18</v>
      </c>
      <c r="D837" s="12">
        <v>34</v>
      </c>
      <c r="E837" s="12" t="s">
        <v>65</v>
      </c>
      <c r="F837" s="12" t="s">
        <v>14</v>
      </c>
      <c r="G837" s="12" t="s">
        <v>248</v>
      </c>
      <c r="H837" s="12" t="s">
        <v>62</v>
      </c>
      <c r="I837" s="12">
        <v>0</v>
      </c>
      <c r="J837" s="12">
        <v>171771</v>
      </c>
      <c r="K837" s="12">
        <v>89.61</v>
      </c>
      <c r="L837" s="12">
        <v>14</v>
      </c>
      <c r="M837" s="12">
        <v>43</v>
      </c>
      <c r="N837" s="12">
        <v>6</v>
      </c>
      <c r="O837" s="12" t="s">
        <v>22</v>
      </c>
      <c r="P837" s="12">
        <v>5.67</v>
      </c>
      <c r="Q837" s="12" t="s">
        <v>23</v>
      </c>
      <c r="S837" s="4"/>
      <c r="T837" s="5"/>
      <c r="U837" s="6"/>
    </row>
    <row r="838" spans="1:21" x14ac:dyDescent="0.3">
      <c r="A838" s="12" t="s">
        <v>1740</v>
      </c>
      <c r="B838" s="12" t="s">
        <v>1741</v>
      </c>
      <c r="C838" s="12" t="s">
        <v>18</v>
      </c>
      <c r="D838" s="12">
        <v>38</v>
      </c>
      <c r="E838" s="12" t="s">
        <v>65</v>
      </c>
      <c r="F838" s="12" t="s">
        <v>16</v>
      </c>
      <c r="G838" s="12" t="s">
        <v>76</v>
      </c>
      <c r="H838" s="12" t="s">
        <v>86</v>
      </c>
      <c r="I838" s="12">
        <v>0</v>
      </c>
      <c r="J838" s="12">
        <v>52530</v>
      </c>
      <c r="K838" s="12">
        <v>96.48</v>
      </c>
      <c r="L838" s="12">
        <v>14</v>
      </c>
      <c r="M838" s="12">
        <v>20</v>
      </c>
      <c r="N838" s="12">
        <v>82</v>
      </c>
      <c r="O838" s="12" t="s">
        <v>22</v>
      </c>
      <c r="P838" s="12">
        <v>9.33</v>
      </c>
      <c r="Q838" s="12" t="s">
        <v>23</v>
      </c>
      <c r="S838" s="4"/>
      <c r="T838" s="5"/>
      <c r="U838" s="6"/>
    </row>
    <row r="839" spans="1:21" x14ac:dyDescent="0.3">
      <c r="A839" s="12" t="s">
        <v>1742</v>
      </c>
      <c r="B839" s="12" t="s">
        <v>1743</v>
      </c>
      <c r="C839" s="12" t="s">
        <v>19</v>
      </c>
      <c r="D839" s="12">
        <v>42</v>
      </c>
      <c r="E839" s="12" t="s">
        <v>60</v>
      </c>
      <c r="F839" s="12" t="s">
        <v>17</v>
      </c>
      <c r="G839" s="12" t="s">
        <v>99</v>
      </c>
      <c r="H839" s="12" t="s">
        <v>62</v>
      </c>
      <c r="I839" s="12">
        <v>16</v>
      </c>
      <c r="J839" s="12">
        <v>99894</v>
      </c>
      <c r="K839" s="12">
        <v>85.42</v>
      </c>
      <c r="L839" s="12">
        <v>2</v>
      </c>
      <c r="M839" s="12">
        <v>5</v>
      </c>
      <c r="N839" s="12">
        <v>97</v>
      </c>
      <c r="O839" s="12" t="s">
        <v>21</v>
      </c>
      <c r="P839" s="12">
        <v>8.19</v>
      </c>
      <c r="Q839" s="12" t="s">
        <v>23</v>
      </c>
      <c r="S839" s="4"/>
      <c r="T839" s="5"/>
      <c r="U839" s="6"/>
    </row>
    <row r="840" spans="1:21" x14ac:dyDescent="0.3">
      <c r="A840" s="12" t="s">
        <v>1744</v>
      </c>
      <c r="B840" s="12" t="s">
        <v>1745</v>
      </c>
      <c r="C840" s="12" t="s">
        <v>19</v>
      </c>
      <c r="D840" s="12">
        <v>33</v>
      </c>
      <c r="E840" s="12" t="s">
        <v>65</v>
      </c>
      <c r="F840" s="12" t="s">
        <v>14</v>
      </c>
      <c r="G840" s="12" t="s">
        <v>110</v>
      </c>
      <c r="H840" s="12" t="s">
        <v>77</v>
      </c>
      <c r="I840" s="12">
        <v>9</v>
      </c>
      <c r="J840" s="12">
        <v>149076</v>
      </c>
      <c r="K840" s="12">
        <v>98.05</v>
      </c>
      <c r="L840" s="12">
        <v>17</v>
      </c>
      <c r="M840" s="12">
        <v>46</v>
      </c>
      <c r="N840" s="12">
        <v>36</v>
      </c>
      <c r="O840" s="12" t="s">
        <v>22</v>
      </c>
      <c r="P840" s="12">
        <v>7.6</v>
      </c>
      <c r="Q840" s="12" t="s">
        <v>23</v>
      </c>
      <c r="S840" s="4"/>
      <c r="T840" s="5"/>
      <c r="U840" s="6"/>
    </row>
    <row r="841" spans="1:21" x14ac:dyDescent="0.3">
      <c r="A841" s="12" t="s">
        <v>1746</v>
      </c>
      <c r="B841" s="12" t="s">
        <v>1747</v>
      </c>
      <c r="C841" s="12" t="s">
        <v>19</v>
      </c>
      <c r="D841" s="12">
        <v>32</v>
      </c>
      <c r="E841" s="12" t="s">
        <v>55</v>
      </c>
      <c r="F841" s="12" t="s">
        <v>14</v>
      </c>
      <c r="G841" s="12" t="s">
        <v>85</v>
      </c>
      <c r="H841" s="12" t="s">
        <v>77</v>
      </c>
      <c r="I841" s="12">
        <v>7</v>
      </c>
      <c r="J841" s="12">
        <v>103506</v>
      </c>
      <c r="K841" s="12">
        <v>75.69</v>
      </c>
      <c r="L841" s="12">
        <v>13</v>
      </c>
      <c r="M841" s="12">
        <v>44</v>
      </c>
      <c r="N841" s="12">
        <v>17</v>
      </c>
      <c r="O841" s="12" t="s">
        <v>20</v>
      </c>
      <c r="P841" s="12">
        <v>6.36</v>
      </c>
      <c r="Q841" s="12" t="s">
        <v>23</v>
      </c>
      <c r="S841" s="4"/>
      <c r="T841" s="5"/>
      <c r="U841" s="6"/>
    </row>
    <row r="842" spans="1:21" x14ac:dyDescent="0.3">
      <c r="A842" s="12" t="s">
        <v>1748</v>
      </c>
      <c r="B842" s="12" t="s">
        <v>1749</v>
      </c>
      <c r="C842" s="12" t="s">
        <v>19</v>
      </c>
      <c r="D842" s="12">
        <v>31</v>
      </c>
      <c r="E842" s="12" t="s">
        <v>60</v>
      </c>
      <c r="F842" s="12" t="s">
        <v>14</v>
      </c>
      <c r="G842" s="12" t="s">
        <v>110</v>
      </c>
      <c r="H842" s="12" t="s">
        <v>77</v>
      </c>
      <c r="I842" s="12">
        <v>0</v>
      </c>
      <c r="J842" s="12">
        <v>129749</v>
      </c>
      <c r="K842" s="12">
        <v>67.77</v>
      </c>
      <c r="L842" s="12">
        <v>1</v>
      </c>
      <c r="M842" s="12">
        <v>17</v>
      </c>
      <c r="N842" s="12">
        <v>20</v>
      </c>
      <c r="O842" s="12" t="s">
        <v>20</v>
      </c>
      <c r="P842" s="12">
        <v>4.24</v>
      </c>
      <c r="Q842" s="12" t="s">
        <v>23</v>
      </c>
      <c r="S842" s="7"/>
      <c r="T842" s="8"/>
      <c r="U842" s="9"/>
    </row>
    <row r="843" spans="1:21" x14ac:dyDescent="0.3">
      <c r="A843" s="12" t="s">
        <v>1750</v>
      </c>
      <c r="B843" s="12" t="s">
        <v>1751</v>
      </c>
      <c r="C843" s="12" t="s">
        <v>18</v>
      </c>
      <c r="D843" s="12">
        <v>49</v>
      </c>
      <c r="E843" s="12" t="s">
        <v>55</v>
      </c>
      <c r="F843" s="12" t="s">
        <v>13</v>
      </c>
      <c r="G843" s="12" t="s">
        <v>66</v>
      </c>
      <c r="H843" s="12" t="s">
        <v>77</v>
      </c>
      <c r="I843" s="12">
        <v>15</v>
      </c>
      <c r="J843" s="12">
        <v>84452</v>
      </c>
      <c r="K843" s="12">
        <v>91.94</v>
      </c>
      <c r="L843" s="12">
        <v>4</v>
      </c>
      <c r="M843" s="12">
        <v>48</v>
      </c>
      <c r="N843" s="12">
        <v>92</v>
      </c>
      <c r="O843" s="12" t="s">
        <v>20</v>
      </c>
      <c r="P843" s="12">
        <v>7.64</v>
      </c>
      <c r="Q843" s="12" t="s">
        <v>23</v>
      </c>
    </row>
    <row r="844" spans="1:21" x14ac:dyDescent="0.3">
      <c r="A844" s="12" t="s">
        <v>1752</v>
      </c>
      <c r="B844" s="12" t="s">
        <v>1753</v>
      </c>
      <c r="C844" s="12" t="s">
        <v>18</v>
      </c>
      <c r="D844" s="12">
        <v>53</v>
      </c>
      <c r="E844" s="12" t="s">
        <v>91</v>
      </c>
      <c r="F844" s="12" t="s">
        <v>12</v>
      </c>
      <c r="G844" s="12" t="s">
        <v>119</v>
      </c>
      <c r="H844" s="12" t="s">
        <v>77</v>
      </c>
      <c r="I844" s="12">
        <v>8</v>
      </c>
      <c r="J844" s="12">
        <v>72191</v>
      </c>
      <c r="K844" s="12">
        <v>77.42</v>
      </c>
      <c r="L844" s="12">
        <v>11</v>
      </c>
      <c r="M844" s="12">
        <v>27</v>
      </c>
      <c r="N844" s="12">
        <v>44</v>
      </c>
      <c r="O844" s="12" t="s">
        <v>22</v>
      </c>
      <c r="P844" s="12">
        <v>6.67</v>
      </c>
      <c r="Q844" s="12" t="s">
        <v>23</v>
      </c>
    </row>
    <row r="845" spans="1:21" x14ac:dyDescent="0.3">
      <c r="A845" s="12" t="s">
        <v>1754</v>
      </c>
      <c r="B845" s="12" t="s">
        <v>1755</v>
      </c>
      <c r="C845" s="12" t="s">
        <v>19</v>
      </c>
      <c r="D845" s="12">
        <v>54</v>
      </c>
      <c r="E845" s="12" t="s">
        <v>60</v>
      </c>
      <c r="F845" s="12" t="s">
        <v>16</v>
      </c>
      <c r="G845" s="12" t="s">
        <v>271</v>
      </c>
      <c r="H845" s="12" t="s">
        <v>62</v>
      </c>
      <c r="I845" s="12">
        <v>12</v>
      </c>
      <c r="J845" s="12">
        <v>85213</v>
      </c>
      <c r="K845" s="12">
        <v>69.72</v>
      </c>
      <c r="L845" s="12">
        <v>1</v>
      </c>
      <c r="M845" s="12">
        <v>36</v>
      </c>
      <c r="N845" s="12">
        <v>51</v>
      </c>
      <c r="O845" s="12" t="s">
        <v>22</v>
      </c>
      <c r="P845" s="12">
        <v>4.43</v>
      </c>
      <c r="Q845" s="12" t="s">
        <v>23</v>
      </c>
    </row>
    <row r="846" spans="1:21" x14ac:dyDescent="0.3">
      <c r="A846" s="12" t="s">
        <v>1756</v>
      </c>
      <c r="B846" s="12" t="s">
        <v>1757</v>
      </c>
      <c r="C846" s="12" t="s">
        <v>19</v>
      </c>
      <c r="D846" s="12">
        <v>30</v>
      </c>
      <c r="E846" s="12" t="s">
        <v>65</v>
      </c>
      <c r="F846" s="12" t="s">
        <v>12</v>
      </c>
      <c r="G846" s="12" t="s">
        <v>152</v>
      </c>
      <c r="H846" s="12" t="s">
        <v>86</v>
      </c>
      <c r="I846" s="12">
        <v>8</v>
      </c>
      <c r="J846" s="12">
        <v>104396</v>
      </c>
      <c r="K846" s="12">
        <v>82.45</v>
      </c>
      <c r="L846" s="12">
        <v>18</v>
      </c>
      <c r="M846" s="12">
        <v>33</v>
      </c>
      <c r="N846" s="12">
        <v>75</v>
      </c>
      <c r="O846" s="12" t="s">
        <v>21</v>
      </c>
      <c r="P846" s="12">
        <v>7.7</v>
      </c>
      <c r="Q846" s="12" t="s">
        <v>23</v>
      </c>
    </row>
    <row r="847" spans="1:21" x14ac:dyDescent="0.3">
      <c r="A847" s="12" t="s">
        <v>1758</v>
      </c>
      <c r="B847" s="12" t="s">
        <v>1759</v>
      </c>
      <c r="C847" s="12" t="s">
        <v>18</v>
      </c>
      <c r="D847" s="12">
        <v>55</v>
      </c>
      <c r="E847" s="12" t="s">
        <v>60</v>
      </c>
      <c r="F847" s="12" t="s">
        <v>15</v>
      </c>
      <c r="G847" s="12" t="s">
        <v>73</v>
      </c>
      <c r="H847" s="12" t="s">
        <v>77</v>
      </c>
      <c r="I847" s="12">
        <v>18</v>
      </c>
      <c r="J847" s="12">
        <v>146521</v>
      </c>
      <c r="K847" s="12">
        <v>86.88</v>
      </c>
      <c r="L847" s="12">
        <v>16</v>
      </c>
      <c r="M847" s="12">
        <v>8</v>
      </c>
      <c r="N847" s="12">
        <v>81</v>
      </c>
      <c r="O847" s="12" t="s">
        <v>21</v>
      </c>
      <c r="P847" s="12">
        <v>9.3800000000000008</v>
      </c>
      <c r="Q847" s="12" t="s">
        <v>24</v>
      </c>
    </row>
    <row r="848" spans="1:21" x14ac:dyDescent="0.3">
      <c r="A848" s="12" t="s">
        <v>1760</v>
      </c>
      <c r="B848" s="12" t="s">
        <v>1761</v>
      </c>
      <c r="C848" s="12" t="s">
        <v>18</v>
      </c>
      <c r="D848" s="12">
        <v>32</v>
      </c>
      <c r="E848" s="12" t="s">
        <v>91</v>
      </c>
      <c r="F848" s="12" t="s">
        <v>13</v>
      </c>
      <c r="G848" s="12" t="s">
        <v>107</v>
      </c>
      <c r="H848" s="12" t="s">
        <v>62</v>
      </c>
      <c r="I848" s="12">
        <v>9</v>
      </c>
      <c r="J848" s="12">
        <v>93277</v>
      </c>
      <c r="K848" s="12">
        <v>98.37</v>
      </c>
      <c r="L848" s="12">
        <v>5</v>
      </c>
      <c r="M848" s="12">
        <v>29</v>
      </c>
      <c r="N848" s="12">
        <v>102</v>
      </c>
      <c r="O848" s="12" t="s">
        <v>21</v>
      </c>
      <c r="P848" s="12">
        <v>8.56</v>
      </c>
      <c r="Q848" s="12" t="s">
        <v>24</v>
      </c>
    </row>
    <row r="849" spans="1:17" x14ac:dyDescent="0.3">
      <c r="A849" s="12" t="s">
        <v>1762</v>
      </c>
      <c r="B849" s="12" t="s">
        <v>1763</v>
      </c>
      <c r="C849" s="12" t="s">
        <v>18</v>
      </c>
      <c r="D849" s="12">
        <v>57</v>
      </c>
      <c r="E849" s="12" t="s">
        <v>60</v>
      </c>
      <c r="F849" s="12" t="s">
        <v>15</v>
      </c>
      <c r="G849" s="12" t="s">
        <v>73</v>
      </c>
      <c r="H849" s="12" t="s">
        <v>57</v>
      </c>
      <c r="I849" s="12">
        <v>26</v>
      </c>
      <c r="J849" s="12">
        <v>126230</v>
      </c>
      <c r="K849" s="12">
        <v>72.03</v>
      </c>
      <c r="L849" s="12">
        <v>9</v>
      </c>
      <c r="M849" s="12">
        <v>44</v>
      </c>
      <c r="N849" s="12">
        <v>114</v>
      </c>
      <c r="O849" s="12" t="s">
        <v>20</v>
      </c>
      <c r="P849" s="12">
        <v>8.7100000000000009</v>
      </c>
      <c r="Q849" s="12" t="s">
        <v>24</v>
      </c>
    </row>
    <row r="850" spans="1:17" x14ac:dyDescent="0.3">
      <c r="A850" s="12" t="s">
        <v>1764</v>
      </c>
      <c r="B850" s="12" t="s">
        <v>1765</v>
      </c>
      <c r="C850" s="12" t="s">
        <v>19</v>
      </c>
      <c r="D850" s="12">
        <v>24</v>
      </c>
      <c r="E850" s="12" t="s">
        <v>65</v>
      </c>
      <c r="F850" s="12" t="s">
        <v>14</v>
      </c>
      <c r="G850" s="12" t="s">
        <v>110</v>
      </c>
      <c r="H850" s="12" t="s">
        <v>57</v>
      </c>
      <c r="I850" s="12">
        <v>1</v>
      </c>
      <c r="J850" s="12">
        <v>101262</v>
      </c>
      <c r="K850" s="12">
        <v>91.28</v>
      </c>
      <c r="L850" s="12">
        <v>7</v>
      </c>
      <c r="M850" s="12">
        <v>31</v>
      </c>
      <c r="N850" s="12">
        <v>96</v>
      </c>
      <c r="O850" s="12" t="s">
        <v>21</v>
      </c>
      <c r="P850" s="12">
        <v>7.6</v>
      </c>
      <c r="Q850" s="12" t="s">
        <v>23</v>
      </c>
    </row>
    <row r="851" spans="1:17" x14ac:dyDescent="0.3">
      <c r="A851" s="12" t="s">
        <v>1766</v>
      </c>
      <c r="B851" s="12" t="s">
        <v>1767</v>
      </c>
      <c r="C851" s="12" t="s">
        <v>18</v>
      </c>
      <c r="D851" s="12">
        <v>23</v>
      </c>
      <c r="E851" s="12" t="s">
        <v>55</v>
      </c>
      <c r="F851" s="12" t="s">
        <v>15</v>
      </c>
      <c r="G851" s="12" t="s">
        <v>73</v>
      </c>
      <c r="H851" s="12" t="s">
        <v>62</v>
      </c>
      <c r="I851" s="12">
        <v>0</v>
      </c>
      <c r="J851" s="12">
        <v>42849</v>
      </c>
      <c r="K851" s="12">
        <v>73.819999999999993</v>
      </c>
      <c r="L851" s="12">
        <v>10</v>
      </c>
      <c r="M851" s="12">
        <v>60</v>
      </c>
      <c r="N851" s="12">
        <v>8</v>
      </c>
      <c r="O851" s="12" t="s">
        <v>22</v>
      </c>
      <c r="P851" s="12">
        <v>4.96</v>
      </c>
      <c r="Q851" s="12" t="s">
        <v>23</v>
      </c>
    </row>
    <row r="852" spans="1:17" x14ac:dyDescent="0.3">
      <c r="A852" s="12" t="s">
        <v>1768</v>
      </c>
      <c r="B852" s="12" t="s">
        <v>1769</v>
      </c>
      <c r="C852" s="12" t="s">
        <v>19</v>
      </c>
      <c r="D852" s="12">
        <v>44</v>
      </c>
      <c r="E852" s="12" t="s">
        <v>65</v>
      </c>
      <c r="F852" s="12" t="s">
        <v>12</v>
      </c>
      <c r="G852" s="12" t="s">
        <v>152</v>
      </c>
      <c r="H852" s="12" t="s">
        <v>62</v>
      </c>
      <c r="I852" s="12">
        <v>18</v>
      </c>
      <c r="J852" s="12">
        <v>54225</v>
      </c>
      <c r="K852" s="12">
        <v>80.39</v>
      </c>
      <c r="L852" s="12">
        <v>19</v>
      </c>
      <c r="M852" s="12">
        <v>28</v>
      </c>
      <c r="N852" s="12">
        <v>67</v>
      </c>
      <c r="O852" s="12" t="s">
        <v>20</v>
      </c>
      <c r="P852" s="12">
        <v>8.7899999999999991</v>
      </c>
      <c r="Q852" s="12" t="s">
        <v>24</v>
      </c>
    </row>
    <row r="853" spans="1:17" x14ac:dyDescent="0.3">
      <c r="A853" s="12" t="s">
        <v>1770</v>
      </c>
      <c r="B853" s="12" t="s">
        <v>1771</v>
      </c>
      <c r="C853" s="12" t="s">
        <v>18</v>
      </c>
      <c r="D853" s="12">
        <v>43</v>
      </c>
      <c r="E853" s="12" t="s">
        <v>65</v>
      </c>
      <c r="F853" s="12" t="s">
        <v>16</v>
      </c>
      <c r="G853" s="12" t="s">
        <v>181</v>
      </c>
      <c r="H853" s="12" t="s">
        <v>86</v>
      </c>
      <c r="I853" s="12">
        <v>1</v>
      </c>
      <c r="J853" s="12">
        <v>80386</v>
      </c>
      <c r="K853" s="12">
        <v>90.33</v>
      </c>
      <c r="L853" s="12">
        <v>6</v>
      </c>
      <c r="M853" s="12">
        <v>0</v>
      </c>
      <c r="N853" s="12">
        <v>90</v>
      </c>
      <c r="O853" s="12" t="s">
        <v>21</v>
      </c>
      <c r="P853" s="12">
        <v>7.73</v>
      </c>
      <c r="Q853" s="12" t="s">
        <v>23</v>
      </c>
    </row>
    <row r="854" spans="1:17" x14ac:dyDescent="0.3">
      <c r="A854" s="12" t="s">
        <v>1772</v>
      </c>
      <c r="B854" s="12" t="s">
        <v>1773</v>
      </c>
      <c r="C854" s="12" t="s">
        <v>19</v>
      </c>
      <c r="D854" s="12">
        <v>35</v>
      </c>
      <c r="E854" s="12" t="s">
        <v>80</v>
      </c>
      <c r="F854" s="12" t="s">
        <v>16</v>
      </c>
      <c r="G854" s="12" t="s">
        <v>181</v>
      </c>
      <c r="H854" s="12" t="s">
        <v>86</v>
      </c>
      <c r="I854" s="12">
        <v>6</v>
      </c>
      <c r="J854" s="12">
        <v>57354</v>
      </c>
      <c r="K854" s="12">
        <v>76.569999999999993</v>
      </c>
      <c r="L854" s="12">
        <v>4</v>
      </c>
      <c r="M854" s="12">
        <v>44</v>
      </c>
      <c r="N854" s="12">
        <v>119</v>
      </c>
      <c r="O854" s="12" t="s">
        <v>20</v>
      </c>
      <c r="P854" s="12">
        <v>6.59</v>
      </c>
      <c r="Q854" s="12" t="s">
        <v>23</v>
      </c>
    </row>
    <row r="855" spans="1:17" x14ac:dyDescent="0.3">
      <c r="A855" s="12" t="s">
        <v>1774</v>
      </c>
      <c r="B855" s="12" t="s">
        <v>1775</v>
      </c>
      <c r="C855" s="12" t="s">
        <v>19</v>
      </c>
      <c r="D855" s="12">
        <v>43</v>
      </c>
      <c r="E855" s="12" t="s">
        <v>80</v>
      </c>
      <c r="F855" s="12" t="s">
        <v>17</v>
      </c>
      <c r="G855" s="12" t="s">
        <v>99</v>
      </c>
      <c r="H855" s="12" t="s">
        <v>57</v>
      </c>
      <c r="I855" s="12">
        <v>6</v>
      </c>
      <c r="J855" s="12">
        <v>80174</v>
      </c>
      <c r="K855" s="12">
        <v>91.7</v>
      </c>
      <c r="L855" s="12">
        <v>12</v>
      </c>
      <c r="M855" s="12">
        <v>28</v>
      </c>
      <c r="N855" s="12">
        <v>72</v>
      </c>
      <c r="O855" s="12" t="s">
        <v>20</v>
      </c>
      <c r="P855" s="12">
        <v>7.77</v>
      </c>
      <c r="Q855" s="12" t="s">
        <v>23</v>
      </c>
    </row>
    <row r="856" spans="1:17" x14ac:dyDescent="0.3">
      <c r="A856" s="12" t="s">
        <v>1776</v>
      </c>
      <c r="B856" s="12" t="s">
        <v>1777</v>
      </c>
      <c r="C856" s="12" t="s">
        <v>19</v>
      </c>
      <c r="D856" s="12">
        <v>47</v>
      </c>
      <c r="E856" s="12" t="s">
        <v>65</v>
      </c>
      <c r="F856" s="12" t="s">
        <v>17</v>
      </c>
      <c r="G856" s="12" t="s">
        <v>99</v>
      </c>
      <c r="H856" s="12" t="s">
        <v>62</v>
      </c>
      <c r="I856" s="12">
        <v>23</v>
      </c>
      <c r="J856" s="12">
        <v>124820</v>
      </c>
      <c r="K856" s="12">
        <v>86.49</v>
      </c>
      <c r="L856" s="12">
        <v>18</v>
      </c>
      <c r="M856" s="12">
        <v>15</v>
      </c>
      <c r="N856" s="12">
        <v>57</v>
      </c>
      <c r="O856" s="12" t="s">
        <v>21</v>
      </c>
      <c r="P856" s="12">
        <v>8.6</v>
      </c>
      <c r="Q856" s="12" t="s">
        <v>24</v>
      </c>
    </row>
    <row r="857" spans="1:17" x14ac:dyDescent="0.3">
      <c r="A857" s="12" t="s">
        <v>1778</v>
      </c>
      <c r="B857" s="12" t="s">
        <v>1779</v>
      </c>
      <c r="C857" s="12" t="s">
        <v>18</v>
      </c>
      <c r="D857" s="12">
        <v>27</v>
      </c>
      <c r="E857" s="12" t="s">
        <v>91</v>
      </c>
      <c r="F857" s="12" t="s">
        <v>16</v>
      </c>
      <c r="G857" s="12" t="s">
        <v>76</v>
      </c>
      <c r="H857" s="12" t="s">
        <v>57</v>
      </c>
      <c r="I857" s="12">
        <v>6</v>
      </c>
      <c r="J857" s="12">
        <v>84131</v>
      </c>
      <c r="K857" s="12">
        <v>98.3</v>
      </c>
      <c r="L857" s="12">
        <v>8</v>
      </c>
      <c r="M857" s="12">
        <v>44</v>
      </c>
      <c r="N857" s="12">
        <v>68</v>
      </c>
      <c r="O857" s="12" t="s">
        <v>21</v>
      </c>
      <c r="P857" s="12">
        <v>7.78</v>
      </c>
      <c r="Q857" s="12" t="s">
        <v>23</v>
      </c>
    </row>
    <row r="858" spans="1:17" x14ac:dyDescent="0.3">
      <c r="A858" s="12" t="s">
        <v>1780</v>
      </c>
      <c r="B858" s="12" t="s">
        <v>1781</v>
      </c>
      <c r="C858" s="12" t="s">
        <v>19</v>
      </c>
      <c r="D858" s="12">
        <v>33</v>
      </c>
      <c r="E858" s="12" t="s">
        <v>65</v>
      </c>
      <c r="F858" s="12" t="s">
        <v>17</v>
      </c>
      <c r="G858" s="12" t="s">
        <v>102</v>
      </c>
      <c r="H858" s="12" t="s">
        <v>86</v>
      </c>
      <c r="I858" s="12">
        <v>3</v>
      </c>
      <c r="J858" s="12">
        <v>117828</v>
      </c>
      <c r="K858" s="12">
        <v>93.09</v>
      </c>
      <c r="L858" s="12">
        <v>6</v>
      </c>
      <c r="M858" s="12">
        <v>44</v>
      </c>
      <c r="N858" s="12">
        <v>101</v>
      </c>
      <c r="O858" s="12" t="s">
        <v>21</v>
      </c>
      <c r="P858" s="12">
        <v>8.06</v>
      </c>
      <c r="Q858" s="12" t="s">
        <v>23</v>
      </c>
    </row>
    <row r="859" spans="1:17" x14ac:dyDescent="0.3">
      <c r="A859" s="12" t="s">
        <v>1782</v>
      </c>
      <c r="B859" s="12" t="s">
        <v>1783</v>
      </c>
      <c r="C859" s="12" t="s">
        <v>18</v>
      </c>
      <c r="D859" s="12">
        <v>33</v>
      </c>
      <c r="E859" s="12" t="s">
        <v>80</v>
      </c>
      <c r="F859" s="12" t="s">
        <v>12</v>
      </c>
      <c r="G859" s="12" t="s">
        <v>92</v>
      </c>
      <c r="H859" s="12" t="s">
        <v>77</v>
      </c>
      <c r="I859" s="12">
        <v>0</v>
      </c>
      <c r="J859" s="12">
        <v>151761</v>
      </c>
      <c r="K859" s="12">
        <v>86.55</v>
      </c>
      <c r="L859" s="12">
        <v>4</v>
      </c>
      <c r="M859" s="12">
        <v>33</v>
      </c>
      <c r="N859" s="12">
        <v>56</v>
      </c>
      <c r="O859" s="12" t="s">
        <v>20</v>
      </c>
      <c r="P859" s="12">
        <v>6.01</v>
      </c>
      <c r="Q859" s="12" t="s">
        <v>23</v>
      </c>
    </row>
    <row r="860" spans="1:17" x14ac:dyDescent="0.3">
      <c r="A860" s="12" t="s">
        <v>1784</v>
      </c>
      <c r="B860" s="12" t="s">
        <v>1785</v>
      </c>
      <c r="C860" s="12" t="s">
        <v>19</v>
      </c>
      <c r="D860" s="12">
        <v>49</v>
      </c>
      <c r="E860" s="12" t="s">
        <v>55</v>
      </c>
      <c r="F860" s="12" t="s">
        <v>13</v>
      </c>
      <c r="G860" s="12" t="s">
        <v>66</v>
      </c>
      <c r="H860" s="12" t="s">
        <v>86</v>
      </c>
      <c r="I860" s="12">
        <v>5</v>
      </c>
      <c r="J860" s="12">
        <v>76087</v>
      </c>
      <c r="K860" s="12">
        <v>71.37</v>
      </c>
      <c r="L860" s="12">
        <v>4</v>
      </c>
      <c r="M860" s="12">
        <v>4</v>
      </c>
      <c r="N860" s="12">
        <v>73</v>
      </c>
      <c r="O860" s="12" t="s">
        <v>21</v>
      </c>
      <c r="P860" s="12">
        <v>7.12</v>
      </c>
      <c r="Q860" s="12" t="s">
        <v>23</v>
      </c>
    </row>
    <row r="861" spans="1:17" x14ac:dyDescent="0.3">
      <c r="A861" s="12" t="s">
        <v>1786</v>
      </c>
      <c r="B861" s="12" t="s">
        <v>1787</v>
      </c>
      <c r="C861" s="12" t="s">
        <v>18</v>
      </c>
      <c r="D861" s="12">
        <v>24</v>
      </c>
      <c r="E861" s="12" t="s">
        <v>80</v>
      </c>
      <c r="F861" s="12" t="s">
        <v>15</v>
      </c>
      <c r="G861" s="12" t="s">
        <v>130</v>
      </c>
      <c r="H861" s="12" t="s">
        <v>86</v>
      </c>
      <c r="I861" s="12">
        <v>0</v>
      </c>
      <c r="J861" s="12">
        <v>132929</v>
      </c>
      <c r="K861" s="12">
        <v>70.44</v>
      </c>
      <c r="L861" s="12">
        <v>15</v>
      </c>
      <c r="M861" s="12">
        <v>3</v>
      </c>
      <c r="N861" s="12">
        <v>91</v>
      </c>
      <c r="O861" s="12" t="s">
        <v>20</v>
      </c>
      <c r="P861" s="12">
        <v>8.69</v>
      </c>
      <c r="Q861" s="12" t="s">
        <v>23</v>
      </c>
    </row>
    <row r="862" spans="1:17" x14ac:dyDescent="0.3">
      <c r="A862" s="12" t="s">
        <v>1788</v>
      </c>
      <c r="B862" s="12" t="s">
        <v>1789</v>
      </c>
      <c r="C862" s="12" t="s">
        <v>18</v>
      </c>
      <c r="D862" s="12">
        <v>44</v>
      </c>
      <c r="E862" s="12" t="s">
        <v>55</v>
      </c>
      <c r="F862" s="12" t="s">
        <v>17</v>
      </c>
      <c r="G862" s="12" t="s">
        <v>135</v>
      </c>
      <c r="H862" s="12" t="s">
        <v>77</v>
      </c>
      <c r="I862" s="12">
        <v>14</v>
      </c>
      <c r="J862" s="12">
        <v>135044</v>
      </c>
      <c r="K862" s="12">
        <v>69.290000000000006</v>
      </c>
      <c r="L862" s="12">
        <v>20</v>
      </c>
      <c r="M862" s="12">
        <v>29</v>
      </c>
      <c r="N862" s="12">
        <v>37</v>
      </c>
      <c r="O862" s="12" t="s">
        <v>22</v>
      </c>
      <c r="P862" s="12">
        <v>7.35</v>
      </c>
      <c r="Q862" s="12" t="s">
        <v>23</v>
      </c>
    </row>
    <row r="863" spans="1:17" x14ac:dyDescent="0.3">
      <c r="A863" s="12" t="s">
        <v>1790</v>
      </c>
      <c r="B863" s="12" t="s">
        <v>1791</v>
      </c>
      <c r="C863" s="12" t="s">
        <v>18</v>
      </c>
      <c r="D863" s="12">
        <v>52</v>
      </c>
      <c r="E863" s="12" t="s">
        <v>65</v>
      </c>
      <c r="F863" s="12" t="s">
        <v>15</v>
      </c>
      <c r="G863" s="12" t="s">
        <v>130</v>
      </c>
      <c r="H863" s="12" t="s">
        <v>57</v>
      </c>
      <c r="I863" s="12">
        <v>21</v>
      </c>
      <c r="J863" s="12">
        <v>67002</v>
      </c>
      <c r="K863" s="12">
        <v>86.48</v>
      </c>
      <c r="L863" s="12">
        <v>10</v>
      </c>
      <c r="M863" s="12">
        <v>13</v>
      </c>
      <c r="N863" s="12">
        <v>69</v>
      </c>
      <c r="O863" s="12" t="s">
        <v>20</v>
      </c>
      <c r="P863" s="12">
        <v>8.11</v>
      </c>
      <c r="Q863" s="12" t="s">
        <v>23</v>
      </c>
    </row>
    <row r="864" spans="1:17" x14ac:dyDescent="0.3">
      <c r="A864" s="12" t="s">
        <v>1792</v>
      </c>
      <c r="B864" s="12" t="s">
        <v>1793</v>
      </c>
      <c r="C864" s="12" t="s">
        <v>19</v>
      </c>
      <c r="D864" s="12">
        <v>33</v>
      </c>
      <c r="E864" s="12" t="s">
        <v>65</v>
      </c>
      <c r="F864" s="12" t="s">
        <v>17</v>
      </c>
      <c r="G864" s="12" t="s">
        <v>102</v>
      </c>
      <c r="H864" s="12" t="s">
        <v>77</v>
      </c>
      <c r="I864" s="12">
        <v>3</v>
      </c>
      <c r="J864" s="12">
        <v>124365</v>
      </c>
      <c r="K864" s="12">
        <v>90.77</v>
      </c>
      <c r="L864" s="12">
        <v>10</v>
      </c>
      <c r="M864" s="12">
        <v>54</v>
      </c>
      <c r="N864" s="12">
        <v>47</v>
      </c>
      <c r="O864" s="12" t="s">
        <v>22</v>
      </c>
      <c r="P864" s="12">
        <v>6.11</v>
      </c>
      <c r="Q864" s="12" t="s">
        <v>23</v>
      </c>
    </row>
    <row r="865" spans="1:17" x14ac:dyDescent="0.3">
      <c r="A865" s="12" t="s">
        <v>1794</v>
      </c>
      <c r="B865" s="12" t="s">
        <v>1795</v>
      </c>
      <c r="C865" s="12" t="s">
        <v>18</v>
      </c>
      <c r="D865" s="12">
        <v>46</v>
      </c>
      <c r="E865" s="12" t="s">
        <v>69</v>
      </c>
      <c r="F865" s="12" t="s">
        <v>17</v>
      </c>
      <c r="G865" s="12" t="s">
        <v>102</v>
      </c>
      <c r="H865" s="12" t="s">
        <v>57</v>
      </c>
      <c r="I865" s="12">
        <v>4</v>
      </c>
      <c r="J865" s="12">
        <v>58373</v>
      </c>
      <c r="K865" s="12">
        <v>72.97</v>
      </c>
      <c r="L865" s="12">
        <v>18</v>
      </c>
      <c r="M865" s="12">
        <v>1</v>
      </c>
      <c r="N865" s="12">
        <v>100</v>
      </c>
      <c r="O865" s="12" t="s">
        <v>21</v>
      </c>
      <c r="P865" s="12">
        <v>9.7200000000000006</v>
      </c>
      <c r="Q865" s="12" t="s">
        <v>24</v>
      </c>
    </row>
    <row r="866" spans="1:17" x14ac:dyDescent="0.3">
      <c r="A866" s="12" t="s">
        <v>1796</v>
      </c>
      <c r="B866" s="12" t="s">
        <v>1797</v>
      </c>
      <c r="C866" s="12" t="s">
        <v>19</v>
      </c>
      <c r="D866" s="12">
        <v>26</v>
      </c>
      <c r="E866" s="12" t="s">
        <v>91</v>
      </c>
      <c r="F866" s="12" t="s">
        <v>15</v>
      </c>
      <c r="G866" s="12" t="s">
        <v>61</v>
      </c>
      <c r="H866" s="12" t="s">
        <v>62</v>
      </c>
      <c r="I866" s="12">
        <v>4</v>
      </c>
      <c r="J866" s="12">
        <v>118269</v>
      </c>
      <c r="K866" s="12">
        <v>67.95</v>
      </c>
      <c r="L866" s="12">
        <v>1</v>
      </c>
      <c r="M866" s="12">
        <v>38</v>
      </c>
      <c r="N866" s="12">
        <v>56</v>
      </c>
      <c r="O866" s="12" t="s">
        <v>22</v>
      </c>
      <c r="P866" s="12">
        <v>4.6900000000000004</v>
      </c>
      <c r="Q866" s="12" t="s">
        <v>23</v>
      </c>
    </row>
    <row r="867" spans="1:17" x14ac:dyDescent="0.3">
      <c r="A867" s="12" t="s">
        <v>1798</v>
      </c>
      <c r="B867" s="12" t="s">
        <v>1799</v>
      </c>
      <c r="C867" s="12" t="s">
        <v>19</v>
      </c>
      <c r="D867" s="12">
        <v>35</v>
      </c>
      <c r="E867" s="12" t="s">
        <v>80</v>
      </c>
      <c r="F867" s="12" t="s">
        <v>12</v>
      </c>
      <c r="G867" s="12" t="s">
        <v>119</v>
      </c>
      <c r="H867" s="12" t="s">
        <v>77</v>
      </c>
      <c r="I867" s="12">
        <v>1</v>
      </c>
      <c r="J867" s="12">
        <v>54147</v>
      </c>
      <c r="K867" s="12">
        <v>71.8</v>
      </c>
      <c r="L867" s="12">
        <v>20</v>
      </c>
      <c r="M867" s="12">
        <v>9</v>
      </c>
      <c r="N867" s="12">
        <v>91</v>
      </c>
      <c r="O867" s="12" t="s">
        <v>22</v>
      </c>
      <c r="P867" s="12">
        <v>7.69</v>
      </c>
      <c r="Q867" s="12" t="s">
        <v>23</v>
      </c>
    </row>
    <row r="868" spans="1:17" x14ac:dyDescent="0.3">
      <c r="A868" s="12" t="s">
        <v>1800</v>
      </c>
      <c r="B868" s="12" t="s">
        <v>1801</v>
      </c>
      <c r="C868" s="12" t="s">
        <v>18</v>
      </c>
      <c r="D868" s="12">
        <v>39</v>
      </c>
      <c r="E868" s="12" t="s">
        <v>65</v>
      </c>
      <c r="F868" s="12" t="s">
        <v>17</v>
      </c>
      <c r="G868" s="12" t="s">
        <v>102</v>
      </c>
      <c r="H868" s="12" t="s">
        <v>62</v>
      </c>
      <c r="I868" s="12">
        <v>16</v>
      </c>
      <c r="J868" s="12">
        <v>122099</v>
      </c>
      <c r="K868" s="12">
        <v>72.989999999999995</v>
      </c>
      <c r="L868" s="12">
        <v>20</v>
      </c>
      <c r="M868" s="12">
        <v>9</v>
      </c>
      <c r="N868" s="12">
        <v>86</v>
      </c>
      <c r="O868" s="12" t="s">
        <v>20</v>
      </c>
      <c r="P868" s="12">
        <v>9.26</v>
      </c>
      <c r="Q868" s="12" t="s">
        <v>24</v>
      </c>
    </row>
    <row r="869" spans="1:17" x14ac:dyDescent="0.3">
      <c r="A869" s="12" t="s">
        <v>1802</v>
      </c>
      <c r="B869" s="12" t="s">
        <v>1803</v>
      </c>
      <c r="C869" s="12" t="s">
        <v>19</v>
      </c>
      <c r="D869" s="12">
        <v>34</v>
      </c>
      <c r="E869" s="12" t="s">
        <v>91</v>
      </c>
      <c r="F869" s="12" t="s">
        <v>13</v>
      </c>
      <c r="G869" s="12" t="s">
        <v>56</v>
      </c>
      <c r="H869" s="12" t="s">
        <v>86</v>
      </c>
      <c r="I869" s="12">
        <v>4</v>
      </c>
      <c r="J869" s="12">
        <v>40536</v>
      </c>
      <c r="K869" s="12">
        <v>94.44</v>
      </c>
      <c r="L869" s="12">
        <v>13</v>
      </c>
      <c r="M869" s="12">
        <v>30</v>
      </c>
      <c r="N869" s="12">
        <v>44</v>
      </c>
      <c r="O869" s="12" t="s">
        <v>22</v>
      </c>
      <c r="P869" s="12">
        <v>6.79</v>
      </c>
      <c r="Q869" s="12" t="s">
        <v>23</v>
      </c>
    </row>
    <row r="870" spans="1:17" x14ac:dyDescent="0.3">
      <c r="A870" s="12" t="s">
        <v>1804</v>
      </c>
      <c r="B870" s="12" t="s">
        <v>1805</v>
      </c>
      <c r="C870" s="12" t="s">
        <v>19</v>
      </c>
      <c r="D870" s="12">
        <v>52</v>
      </c>
      <c r="E870" s="12" t="s">
        <v>80</v>
      </c>
      <c r="F870" s="12" t="s">
        <v>16</v>
      </c>
      <c r="G870" s="12" t="s">
        <v>271</v>
      </c>
      <c r="H870" s="12" t="s">
        <v>62</v>
      </c>
      <c r="I870" s="12">
        <v>20</v>
      </c>
      <c r="J870" s="12">
        <v>83476</v>
      </c>
      <c r="K870" s="12">
        <v>80.31</v>
      </c>
      <c r="L870" s="12">
        <v>18</v>
      </c>
      <c r="M870" s="12">
        <v>20</v>
      </c>
      <c r="N870" s="12">
        <v>33</v>
      </c>
      <c r="O870" s="12" t="s">
        <v>20</v>
      </c>
      <c r="P870" s="12">
        <v>7.77</v>
      </c>
      <c r="Q870" s="12" t="s">
        <v>23</v>
      </c>
    </row>
    <row r="871" spans="1:17" x14ac:dyDescent="0.3">
      <c r="A871" s="12" t="s">
        <v>1806</v>
      </c>
      <c r="B871" s="12" t="s">
        <v>1807</v>
      </c>
      <c r="C871" s="12" t="s">
        <v>18</v>
      </c>
      <c r="D871" s="12">
        <v>39</v>
      </c>
      <c r="E871" s="12" t="s">
        <v>65</v>
      </c>
      <c r="F871" s="12" t="s">
        <v>15</v>
      </c>
      <c r="G871" s="12" t="s">
        <v>73</v>
      </c>
      <c r="H871" s="12" t="s">
        <v>62</v>
      </c>
      <c r="I871" s="12">
        <v>5</v>
      </c>
      <c r="J871" s="12">
        <v>48715</v>
      </c>
      <c r="K871" s="12">
        <v>66.75</v>
      </c>
      <c r="L871" s="12">
        <v>3</v>
      </c>
      <c r="M871" s="12">
        <v>12</v>
      </c>
      <c r="N871" s="12">
        <v>38</v>
      </c>
      <c r="O871" s="12" t="s">
        <v>22</v>
      </c>
      <c r="P871" s="12">
        <v>4.57</v>
      </c>
      <c r="Q871" s="12" t="s">
        <v>23</v>
      </c>
    </row>
    <row r="872" spans="1:17" x14ac:dyDescent="0.3">
      <c r="A872" s="12" t="s">
        <v>1808</v>
      </c>
      <c r="B872" s="12" t="s">
        <v>1809</v>
      </c>
      <c r="C872" s="12" t="s">
        <v>19</v>
      </c>
      <c r="D872" s="12">
        <v>43</v>
      </c>
      <c r="E872" s="12" t="s">
        <v>80</v>
      </c>
      <c r="F872" s="12" t="s">
        <v>13</v>
      </c>
      <c r="G872" s="12" t="s">
        <v>56</v>
      </c>
      <c r="H872" s="12" t="s">
        <v>77</v>
      </c>
      <c r="I872" s="12">
        <v>21</v>
      </c>
      <c r="J872" s="12">
        <v>67848</v>
      </c>
      <c r="K872" s="12">
        <v>81.37</v>
      </c>
      <c r="L872" s="12">
        <v>6</v>
      </c>
      <c r="M872" s="12">
        <v>37</v>
      </c>
      <c r="N872" s="12">
        <v>25</v>
      </c>
      <c r="O872" s="12" t="s">
        <v>20</v>
      </c>
      <c r="P872" s="12">
        <v>7.28</v>
      </c>
      <c r="Q872" s="12" t="s">
        <v>23</v>
      </c>
    </row>
    <row r="873" spans="1:17" x14ac:dyDescent="0.3">
      <c r="A873" s="12" t="s">
        <v>1810</v>
      </c>
      <c r="B873" s="12" t="s">
        <v>1811</v>
      </c>
      <c r="C873" s="12" t="s">
        <v>18</v>
      </c>
      <c r="D873" s="12">
        <v>28</v>
      </c>
      <c r="E873" s="12" t="s">
        <v>69</v>
      </c>
      <c r="F873" s="12" t="s">
        <v>16</v>
      </c>
      <c r="G873" s="12" t="s">
        <v>271</v>
      </c>
      <c r="H873" s="12" t="s">
        <v>57</v>
      </c>
      <c r="I873" s="12">
        <v>0</v>
      </c>
      <c r="J873" s="12">
        <v>37483</v>
      </c>
      <c r="K873" s="12">
        <v>67.36</v>
      </c>
      <c r="L873" s="12">
        <v>11</v>
      </c>
      <c r="M873" s="12">
        <v>48</v>
      </c>
      <c r="N873" s="12">
        <v>52</v>
      </c>
      <c r="O873" s="12" t="s">
        <v>22</v>
      </c>
      <c r="P873" s="12">
        <v>6.76</v>
      </c>
      <c r="Q873" s="12" t="s">
        <v>23</v>
      </c>
    </row>
    <row r="874" spans="1:17" x14ac:dyDescent="0.3">
      <c r="A874" s="12" t="s">
        <v>1812</v>
      </c>
      <c r="B874" s="12" t="s">
        <v>1813</v>
      </c>
      <c r="C874" s="12" t="s">
        <v>19</v>
      </c>
      <c r="D874" s="12">
        <v>55</v>
      </c>
      <c r="E874" s="12" t="s">
        <v>80</v>
      </c>
      <c r="F874" s="12" t="s">
        <v>13</v>
      </c>
      <c r="G874" s="12" t="s">
        <v>66</v>
      </c>
      <c r="H874" s="12" t="s">
        <v>86</v>
      </c>
      <c r="I874" s="12">
        <v>10</v>
      </c>
      <c r="J874" s="12">
        <v>91296</v>
      </c>
      <c r="K874" s="12">
        <v>91.43</v>
      </c>
      <c r="L874" s="12">
        <v>15</v>
      </c>
      <c r="M874" s="12">
        <v>38</v>
      </c>
      <c r="N874" s="12">
        <v>43</v>
      </c>
      <c r="O874" s="12" t="s">
        <v>20</v>
      </c>
      <c r="P874" s="12">
        <v>8.8699999999999992</v>
      </c>
      <c r="Q874" s="12" t="s">
        <v>24</v>
      </c>
    </row>
    <row r="875" spans="1:17" x14ac:dyDescent="0.3">
      <c r="A875" s="12" t="s">
        <v>1814</v>
      </c>
      <c r="B875" s="12" t="s">
        <v>1815</v>
      </c>
      <c r="C875" s="12" t="s">
        <v>19</v>
      </c>
      <c r="D875" s="12">
        <v>47</v>
      </c>
      <c r="E875" s="12" t="s">
        <v>80</v>
      </c>
      <c r="F875" s="12" t="s">
        <v>13</v>
      </c>
      <c r="G875" s="12" t="s">
        <v>107</v>
      </c>
      <c r="H875" s="12" t="s">
        <v>77</v>
      </c>
      <c r="I875" s="12">
        <v>10</v>
      </c>
      <c r="J875" s="12">
        <v>94800</v>
      </c>
      <c r="K875" s="12">
        <v>91.35</v>
      </c>
      <c r="L875" s="12">
        <v>8</v>
      </c>
      <c r="M875" s="12">
        <v>15</v>
      </c>
      <c r="N875" s="12">
        <v>31</v>
      </c>
      <c r="O875" s="12" t="s">
        <v>20</v>
      </c>
      <c r="P875" s="12">
        <v>7.12</v>
      </c>
      <c r="Q875" s="12" t="s">
        <v>23</v>
      </c>
    </row>
    <row r="876" spans="1:17" x14ac:dyDescent="0.3">
      <c r="A876" s="12" t="s">
        <v>1816</v>
      </c>
      <c r="B876" s="12" t="s">
        <v>1817</v>
      </c>
      <c r="C876" s="12" t="s">
        <v>18</v>
      </c>
      <c r="D876" s="12">
        <v>29</v>
      </c>
      <c r="E876" s="12" t="s">
        <v>69</v>
      </c>
      <c r="F876" s="12" t="s">
        <v>13</v>
      </c>
      <c r="G876" s="12" t="s">
        <v>66</v>
      </c>
      <c r="H876" s="12" t="s">
        <v>86</v>
      </c>
      <c r="I876" s="12">
        <v>5</v>
      </c>
      <c r="J876" s="12">
        <v>59980</v>
      </c>
      <c r="K876" s="12">
        <v>97.97</v>
      </c>
      <c r="L876" s="12">
        <v>11</v>
      </c>
      <c r="M876" s="12">
        <v>54</v>
      </c>
      <c r="N876" s="12">
        <v>38</v>
      </c>
      <c r="O876" s="12" t="s">
        <v>22</v>
      </c>
      <c r="P876" s="12">
        <v>7.72</v>
      </c>
      <c r="Q876" s="12" t="s">
        <v>23</v>
      </c>
    </row>
    <row r="877" spans="1:17" x14ac:dyDescent="0.3">
      <c r="A877" s="12" t="s">
        <v>1818</v>
      </c>
      <c r="B877" s="12" t="s">
        <v>1819</v>
      </c>
      <c r="C877" s="12" t="s">
        <v>19</v>
      </c>
      <c r="D877" s="12">
        <v>33</v>
      </c>
      <c r="E877" s="12" t="s">
        <v>60</v>
      </c>
      <c r="F877" s="12" t="s">
        <v>16</v>
      </c>
      <c r="G877" s="12" t="s">
        <v>181</v>
      </c>
      <c r="H877" s="12" t="s">
        <v>86</v>
      </c>
      <c r="I877" s="12">
        <v>8</v>
      </c>
      <c r="J877" s="12">
        <v>99341</v>
      </c>
      <c r="K877" s="12">
        <v>80.67</v>
      </c>
      <c r="L877" s="12">
        <v>4</v>
      </c>
      <c r="M877" s="12">
        <v>41</v>
      </c>
      <c r="N877" s="12">
        <v>13</v>
      </c>
      <c r="O877" s="12" t="s">
        <v>20</v>
      </c>
      <c r="P877" s="12">
        <v>4.3499999999999996</v>
      </c>
      <c r="Q877" s="12" t="s">
        <v>23</v>
      </c>
    </row>
    <row r="878" spans="1:17" x14ac:dyDescent="0.3">
      <c r="A878" s="12" t="s">
        <v>1820</v>
      </c>
      <c r="B878" s="12" t="s">
        <v>1821</v>
      </c>
      <c r="C878" s="12" t="s">
        <v>19</v>
      </c>
      <c r="D878" s="12">
        <v>23</v>
      </c>
      <c r="E878" s="12" t="s">
        <v>65</v>
      </c>
      <c r="F878" s="12" t="s">
        <v>17</v>
      </c>
      <c r="G878" s="12" t="s">
        <v>135</v>
      </c>
      <c r="H878" s="12" t="s">
        <v>57</v>
      </c>
      <c r="I878" s="12">
        <v>0</v>
      </c>
      <c r="J878" s="12">
        <v>59063</v>
      </c>
      <c r="K878" s="12">
        <v>68.790000000000006</v>
      </c>
      <c r="L878" s="12">
        <v>8</v>
      </c>
      <c r="M878" s="12">
        <v>37</v>
      </c>
      <c r="N878" s="12">
        <v>60</v>
      </c>
      <c r="O878" s="12" t="s">
        <v>22</v>
      </c>
      <c r="P878" s="12">
        <v>5.38</v>
      </c>
      <c r="Q878" s="12" t="s">
        <v>23</v>
      </c>
    </row>
    <row r="879" spans="1:17" x14ac:dyDescent="0.3">
      <c r="A879" s="12" t="s">
        <v>1822</v>
      </c>
      <c r="B879" s="12" t="s">
        <v>1823</v>
      </c>
      <c r="C879" s="12" t="s">
        <v>18</v>
      </c>
      <c r="D879" s="12">
        <v>39</v>
      </c>
      <c r="E879" s="12" t="s">
        <v>91</v>
      </c>
      <c r="F879" s="12" t="s">
        <v>15</v>
      </c>
      <c r="G879" s="12" t="s">
        <v>130</v>
      </c>
      <c r="H879" s="12" t="s">
        <v>86</v>
      </c>
      <c r="I879" s="12">
        <v>11</v>
      </c>
      <c r="J879" s="12">
        <v>63526</v>
      </c>
      <c r="K879" s="12">
        <v>83.34</v>
      </c>
      <c r="L879" s="12">
        <v>9</v>
      </c>
      <c r="M879" s="12">
        <v>6</v>
      </c>
      <c r="N879" s="12">
        <v>41</v>
      </c>
      <c r="O879" s="12" t="s">
        <v>22</v>
      </c>
      <c r="P879" s="12">
        <v>7.8</v>
      </c>
      <c r="Q879" s="12" t="s">
        <v>23</v>
      </c>
    </row>
    <row r="880" spans="1:17" x14ac:dyDescent="0.3">
      <c r="A880" s="12" t="s">
        <v>1824</v>
      </c>
      <c r="B880" s="12" t="s">
        <v>1825</v>
      </c>
      <c r="C880" s="12" t="s">
        <v>18</v>
      </c>
      <c r="D880" s="12">
        <v>48</v>
      </c>
      <c r="E880" s="12" t="s">
        <v>80</v>
      </c>
      <c r="F880" s="12" t="s">
        <v>15</v>
      </c>
      <c r="G880" s="12" t="s">
        <v>130</v>
      </c>
      <c r="H880" s="12" t="s">
        <v>77</v>
      </c>
      <c r="I880" s="12">
        <v>16</v>
      </c>
      <c r="J880" s="12">
        <v>44625</v>
      </c>
      <c r="K880" s="12">
        <v>69.09</v>
      </c>
      <c r="L880" s="12">
        <v>1</v>
      </c>
      <c r="M880" s="12">
        <v>24</v>
      </c>
      <c r="N880" s="12">
        <v>41</v>
      </c>
      <c r="O880" s="12" t="s">
        <v>20</v>
      </c>
      <c r="P880" s="12">
        <v>5.61</v>
      </c>
      <c r="Q880" s="12" t="s">
        <v>23</v>
      </c>
    </row>
    <row r="881" spans="1:17" x14ac:dyDescent="0.3">
      <c r="A881" s="12" t="s">
        <v>1826</v>
      </c>
      <c r="B881" s="12" t="s">
        <v>1827</v>
      </c>
      <c r="C881" s="12" t="s">
        <v>18</v>
      </c>
      <c r="D881" s="12">
        <v>41</v>
      </c>
      <c r="E881" s="12" t="s">
        <v>91</v>
      </c>
      <c r="F881" s="12" t="s">
        <v>17</v>
      </c>
      <c r="G881" s="12" t="s">
        <v>135</v>
      </c>
      <c r="H881" s="12" t="s">
        <v>57</v>
      </c>
      <c r="I881" s="12">
        <v>17</v>
      </c>
      <c r="J881" s="12">
        <v>137053</v>
      </c>
      <c r="K881" s="12">
        <v>86.79</v>
      </c>
      <c r="L881" s="12">
        <v>11</v>
      </c>
      <c r="M881" s="12">
        <v>40</v>
      </c>
      <c r="N881" s="12">
        <v>115</v>
      </c>
      <c r="O881" s="12" t="s">
        <v>21</v>
      </c>
      <c r="P881" s="12">
        <v>9.1</v>
      </c>
      <c r="Q881" s="12" t="s">
        <v>24</v>
      </c>
    </row>
    <row r="882" spans="1:17" x14ac:dyDescent="0.3">
      <c r="A882" s="12" t="s">
        <v>1828</v>
      </c>
      <c r="B882" s="12" t="s">
        <v>1829</v>
      </c>
      <c r="C882" s="12" t="s">
        <v>18</v>
      </c>
      <c r="D882" s="12">
        <v>43</v>
      </c>
      <c r="E882" s="12" t="s">
        <v>65</v>
      </c>
      <c r="F882" s="12" t="s">
        <v>12</v>
      </c>
      <c r="G882" s="12" t="s">
        <v>92</v>
      </c>
      <c r="H882" s="12" t="s">
        <v>57</v>
      </c>
      <c r="I882" s="12">
        <v>11</v>
      </c>
      <c r="J882" s="12">
        <v>159575</v>
      </c>
      <c r="K882" s="12">
        <v>94.52</v>
      </c>
      <c r="L882" s="12">
        <v>3</v>
      </c>
      <c r="M882" s="12">
        <v>49</v>
      </c>
      <c r="N882" s="12">
        <v>45</v>
      </c>
      <c r="O882" s="12" t="s">
        <v>21</v>
      </c>
      <c r="P882" s="12">
        <v>5.27</v>
      </c>
      <c r="Q882" s="12" t="s">
        <v>23</v>
      </c>
    </row>
    <row r="883" spans="1:17" x14ac:dyDescent="0.3">
      <c r="A883" s="12" t="s">
        <v>1830</v>
      </c>
      <c r="B883" s="12" t="s">
        <v>1831</v>
      </c>
      <c r="C883" s="12" t="s">
        <v>18</v>
      </c>
      <c r="D883" s="12">
        <v>40</v>
      </c>
      <c r="E883" s="12" t="s">
        <v>55</v>
      </c>
      <c r="F883" s="12" t="s">
        <v>14</v>
      </c>
      <c r="G883" s="12" t="s">
        <v>248</v>
      </c>
      <c r="H883" s="12" t="s">
        <v>77</v>
      </c>
      <c r="I883" s="12">
        <v>8</v>
      </c>
      <c r="J883" s="12">
        <v>143776</v>
      </c>
      <c r="K883" s="12">
        <v>97.48</v>
      </c>
      <c r="L883" s="12">
        <v>14</v>
      </c>
      <c r="M883" s="12">
        <v>38</v>
      </c>
      <c r="N883" s="12">
        <v>83</v>
      </c>
      <c r="O883" s="12" t="s">
        <v>20</v>
      </c>
      <c r="P883" s="12">
        <v>9.18</v>
      </c>
      <c r="Q883" s="12" t="s">
        <v>24</v>
      </c>
    </row>
    <row r="884" spans="1:17" x14ac:dyDescent="0.3">
      <c r="A884" s="12" t="s">
        <v>1832</v>
      </c>
      <c r="B884" s="12" t="s">
        <v>1833</v>
      </c>
      <c r="C884" s="12" t="s">
        <v>18</v>
      </c>
      <c r="D884" s="12">
        <v>33</v>
      </c>
      <c r="E884" s="12" t="s">
        <v>91</v>
      </c>
      <c r="F884" s="12" t="s">
        <v>16</v>
      </c>
      <c r="G884" s="12" t="s">
        <v>181</v>
      </c>
      <c r="H884" s="12" t="s">
        <v>77</v>
      </c>
      <c r="I884" s="12">
        <v>9</v>
      </c>
      <c r="J884" s="12">
        <v>80635</v>
      </c>
      <c r="K884" s="12">
        <v>75.400000000000006</v>
      </c>
      <c r="L884" s="12">
        <v>19</v>
      </c>
      <c r="M884" s="12">
        <v>30</v>
      </c>
      <c r="N884" s="12">
        <v>44</v>
      </c>
      <c r="O884" s="12" t="s">
        <v>21</v>
      </c>
      <c r="P884" s="12">
        <v>8.66</v>
      </c>
      <c r="Q884" s="12" t="s">
        <v>24</v>
      </c>
    </row>
    <row r="885" spans="1:17" x14ac:dyDescent="0.3">
      <c r="A885" s="12" t="s">
        <v>1834</v>
      </c>
      <c r="B885" s="12" t="s">
        <v>1835</v>
      </c>
      <c r="C885" s="12" t="s">
        <v>19</v>
      </c>
      <c r="D885" s="12">
        <v>49</v>
      </c>
      <c r="E885" s="12" t="s">
        <v>69</v>
      </c>
      <c r="F885" s="12" t="s">
        <v>16</v>
      </c>
      <c r="G885" s="12" t="s">
        <v>76</v>
      </c>
      <c r="H885" s="12" t="s">
        <v>57</v>
      </c>
      <c r="I885" s="12">
        <v>12</v>
      </c>
      <c r="J885" s="12">
        <v>77378</v>
      </c>
      <c r="K885" s="12">
        <v>86.07</v>
      </c>
      <c r="L885" s="12">
        <v>14</v>
      </c>
      <c r="M885" s="12">
        <v>31</v>
      </c>
      <c r="N885" s="12">
        <v>60</v>
      </c>
      <c r="O885" s="12" t="s">
        <v>21</v>
      </c>
      <c r="P885" s="12">
        <v>8.91</v>
      </c>
      <c r="Q885" s="12" t="s">
        <v>24</v>
      </c>
    </row>
    <row r="886" spans="1:17" x14ac:dyDescent="0.3">
      <c r="A886" s="12" t="s">
        <v>1836</v>
      </c>
      <c r="B886" s="12" t="s">
        <v>1837</v>
      </c>
      <c r="C886" s="12" t="s">
        <v>18</v>
      </c>
      <c r="D886" s="12">
        <v>22</v>
      </c>
      <c r="E886" s="12" t="s">
        <v>55</v>
      </c>
      <c r="F886" s="12" t="s">
        <v>16</v>
      </c>
      <c r="G886" s="12" t="s">
        <v>181</v>
      </c>
      <c r="H886" s="12" t="s">
        <v>77</v>
      </c>
      <c r="I886" s="12">
        <v>1</v>
      </c>
      <c r="J886" s="12">
        <v>52809</v>
      </c>
      <c r="K886" s="12">
        <v>66.62</v>
      </c>
      <c r="L886" s="12">
        <v>2</v>
      </c>
      <c r="M886" s="12">
        <v>54</v>
      </c>
      <c r="N886" s="12">
        <v>8</v>
      </c>
      <c r="O886" s="12" t="s">
        <v>20</v>
      </c>
      <c r="P886" s="12">
        <v>4.0199999999999996</v>
      </c>
      <c r="Q886" s="12" t="s">
        <v>23</v>
      </c>
    </row>
    <row r="887" spans="1:17" x14ac:dyDescent="0.3">
      <c r="A887" s="12" t="s">
        <v>1838</v>
      </c>
      <c r="B887" s="12" t="s">
        <v>1839</v>
      </c>
      <c r="C887" s="12" t="s">
        <v>19</v>
      </c>
      <c r="D887" s="12">
        <v>27</v>
      </c>
      <c r="E887" s="12" t="s">
        <v>91</v>
      </c>
      <c r="F887" s="12" t="s">
        <v>14</v>
      </c>
      <c r="G887" s="12" t="s">
        <v>70</v>
      </c>
      <c r="H887" s="12" t="s">
        <v>62</v>
      </c>
      <c r="I887" s="12">
        <v>2</v>
      </c>
      <c r="J887" s="12">
        <v>165669</v>
      </c>
      <c r="K887" s="12">
        <v>88.37</v>
      </c>
      <c r="L887" s="12">
        <v>17</v>
      </c>
      <c r="M887" s="12">
        <v>36</v>
      </c>
      <c r="N887" s="12">
        <v>16</v>
      </c>
      <c r="O887" s="12" t="s">
        <v>20</v>
      </c>
      <c r="P887" s="12">
        <v>7</v>
      </c>
      <c r="Q887" s="12" t="s">
        <v>23</v>
      </c>
    </row>
    <row r="888" spans="1:17" x14ac:dyDescent="0.3">
      <c r="A888" s="12" t="s">
        <v>1840</v>
      </c>
      <c r="B888" s="12" t="s">
        <v>1841</v>
      </c>
      <c r="C888" s="12" t="s">
        <v>18</v>
      </c>
      <c r="D888" s="12">
        <v>33</v>
      </c>
      <c r="E888" s="12" t="s">
        <v>60</v>
      </c>
      <c r="F888" s="12" t="s">
        <v>17</v>
      </c>
      <c r="G888" s="12" t="s">
        <v>135</v>
      </c>
      <c r="H888" s="12" t="s">
        <v>77</v>
      </c>
      <c r="I888" s="12">
        <v>2</v>
      </c>
      <c r="J888" s="12">
        <v>101902</v>
      </c>
      <c r="K888" s="12">
        <v>72.38</v>
      </c>
      <c r="L888" s="12">
        <v>15</v>
      </c>
      <c r="M888" s="12">
        <v>22</v>
      </c>
      <c r="N888" s="12">
        <v>9</v>
      </c>
      <c r="O888" s="12" t="s">
        <v>20</v>
      </c>
      <c r="P888" s="12">
        <v>5.24</v>
      </c>
      <c r="Q888" s="12" t="s">
        <v>23</v>
      </c>
    </row>
    <row r="889" spans="1:17" x14ac:dyDescent="0.3">
      <c r="A889" s="12" t="s">
        <v>1842</v>
      </c>
      <c r="B889" s="12" t="s">
        <v>1843</v>
      </c>
      <c r="C889" s="12" t="s">
        <v>19</v>
      </c>
      <c r="D889" s="12">
        <v>39</v>
      </c>
      <c r="E889" s="12" t="s">
        <v>65</v>
      </c>
      <c r="F889" s="12" t="s">
        <v>17</v>
      </c>
      <c r="G889" s="12" t="s">
        <v>99</v>
      </c>
      <c r="H889" s="12" t="s">
        <v>62</v>
      </c>
      <c r="I889" s="12">
        <v>2</v>
      </c>
      <c r="J889" s="12">
        <v>100755</v>
      </c>
      <c r="K889" s="12">
        <v>84.91</v>
      </c>
      <c r="L889" s="12">
        <v>2</v>
      </c>
      <c r="M889" s="12">
        <v>51</v>
      </c>
      <c r="N889" s="12">
        <v>103</v>
      </c>
      <c r="O889" s="12" t="s">
        <v>22</v>
      </c>
      <c r="P889" s="12">
        <v>7.27</v>
      </c>
      <c r="Q889" s="12" t="s">
        <v>23</v>
      </c>
    </row>
    <row r="890" spans="1:17" x14ac:dyDescent="0.3">
      <c r="A890" s="12" t="s">
        <v>1844</v>
      </c>
      <c r="B890" s="12" t="s">
        <v>1845</v>
      </c>
      <c r="C890" s="12" t="s">
        <v>19</v>
      </c>
      <c r="D890" s="12">
        <v>57</v>
      </c>
      <c r="E890" s="12" t="s">
        <v>80</v>
      </c>
      <c r="F890" s="12" t="s">
        <v>16</v>
      </c>
      <c r="G890" s="12" t="s">
        <v>181</v>
      </c>
      <c r="H890" s="12" t="s">
        <v>86</v>
      </c>
      <c r="I890" s="12">
        <v>5</v>
      </c>
      <c r="J890" s="12">
        <v>119707</v>
      </c>
      <c r="K890" s="12">
        <v>71.66</v>
      </c>
      <c r="L890" s="12">
        <v>20</v>
      </c>
      <c r="M890" s="12">
        <v>47</v>
      </c>
      <c r="N890" s="12">
        <v>87</v>
      </c>
      <c r="O890" s="12" t="s">
        <v>21</v>
      </c>
      <c r="P890" s="12">
        <v>8.9600000000000009</v>
      </c>
      <c r="Q890" s="12" t="s">
        <v>24</v>
      </c>
    </row>
    <row r="891" spans="1:17" x14ac:dyDescent="0.3">
      <c r="A891" s="12" t="s">
        <v>1846</v>
      </c>
      <c r="B891" s="12" t="s">
        <v>1847</v>
      </c>
      <c r="C891" s="12" t="s">
        <v>18</v>
      </c>
      <c r="D891" s="12">
        <v>55</v>
      </c>
      <c r="E891" s="12" t="s">
        <v>91</v>
      </c>
      <c r="F891" s="12" t="s">
        <v>12</v>
      </c>
      <c r="G891" s="12" t="s">
        <v>92</v>
      </c>
      <c r="H891" s="12" t="s">
        <v>77</v>
      </c>
      <c r="I891" s="12">
        <v>33</v>
      </c>
      <c r="J891" s="12">
        <v>137157</v>
      </c>
      <c r="K891" s="12">
        <v>79.16</v>
      </c>
      <c r="L891" s="12">
        <v>7</v>
      </c>
      <c r="M891" s="12">
        <v>58</v>
      </c>
      <c r="N891" s="12">
        <v>113</v>
      </c>
      <c r="O891" s="12" t="s">
        <v>20</v>
      </c>
      <c r="P891" s="12">
        <v>8.8699999999999992</v>
      </c>
      <c r="Q891" s="12" t="s">
        <v>24</v>
      </c>
    </row>
    <row r="892" spans="1:17" x14ac:dyDescent="0.3">
      <c r="A892" s="12" t="s">
        <v>1848</v>
      </c>
      <c r="B892" s="12" t="s">
        <v>1849</v>
      </c>
      <c r="C892" s="12" t="s">
        <v>19</v>
      </c>
      <c r="D892" s="12">
        <v>34</v>
      </c>
      <c r="E892" s="12" t="s">
        <v>60</v>
      </c>
      <c r="F892" s="12" t="s">
        <v>15</v>
      </c>
      <c r="G892" s="12" t="s">
        <v>61</v>
      </c>
      <c r="H892" s="12" t="s">
        <v>62</v>
      </c>
      <c r="I892" s="12">
        <v>12</v>
      </c>
      <c r="J892" s="12">
        <v>38450</v>
      </c>
      <c r="K892" s="12">
        <v>73.599999999999994</v>
      </c>
      <c r="L892" s="12">
        <v>17</v>
      </c>
      <c r="M892" s="12">
        <v>58</v>
      </c>
      <c r="N892" s="12">
        <v>96</v>
      </c>
      <c r="O892" s="12" t="s">
        <v>20</v>
      </c>
      <c r="P892" s="12">
        <v>8.9499999999999993</v>
      </c>
      <c r="Q892" s="12" t="s">
        <v>24</v>
      </c>
    </row>
    <row r="893" spans="1:17" x14ac:dyDescent="0.3">
      <c r="A893" s="12" t="s">
        <v>1850</v>
      </c>
      <c r="B893" s="12" t="s">
        <v>1851</v>
      </c>
      <c r="C893" s="12" t="s">
        <v>18</v>
      </c>
      <c r="D893" s="12">
        <v>58</v>
      </c>
      <c r="E893" s="12" t="s">
        <v>65</v>
      </c>
      <c r="F893" s="12" t="s">
        <v>15</v>
      </c>
      <c r="G893" s="12" t="s">
        <v>61</v>
      </c>
      <c r="H893" s="12" t="s">
        <v>62</v>
      </c>
      <c r="I893" s="12">
        <v>34</v>
      </c>
      <c r="J893" s="12">
        <v>96460</v>
      </c>
      <c r="K893" s="12">
        <v>87.8</v>
      </c>
      <c r="L893" s="12">
        <v>8</v>
      </c>
      <c r="M893" s="12">
        <v>58</v>
      </c>
      <c r="N893" s="12">
        <v>67</v>
      </c>
      <c r="O893" s="12" t="s">
        <v>20</v>
      </c>
      <c r="P893" s="12">
        <v>8.7200000000000006</v>
      </c>
      <c r="Q893" s="12" t="s">
        <v>24</v>
      </c>
    </row>
    <row r="894" spans="1:17" x14ac:dyDescent="0.3">
      <c r="A894" s="12" t="s">
        <v>1852</v>
      </c>
      <c r="B894" s="12" t="s">
        <v>1853</v>
      </c>
      <c r="C894" s="12" t="s">
        <v>19</v>
      </c>
      <c r="D894" s="12">
        <v>43</v>
      </c>
      <c r="E894" s="12" t="s">
        <v>60</v>
      </c>
      <c r="F894" s="12" t="s">
        <v>17</v>
      </c>
      <c r="G894" s="12" t="s">
        <v>135</v>
      </c>
      <c r="H894" s="12" t="s">
        <v>62</v>
      </c>
      <c r="I894" s="12">
        <v>8</v>
      </c>
      <c r="J894" s="12">
        <v>76489</v>
      </c>
      <c r="K894" s="12">
        <v>66.48</v>
      </c>
      <c r="L894" s="12">
        <v>3</v>
      </c>
      <c r="M894" s="12">
        <v>0</v>
      </c>
      <c r="N894" s="12">
        <v>59</v>
      </c>
      <c r="O894" s="12" t="s">
        <v>22</v>
      </c>
      <c r="P894" s="12">
        <v>6.66</v>
      </c>
      <c r="Q894" s="12" t="s">
        <v>23</v>
      </c>
    </row>
    <row r="895" spans="1:17" x14ac:dyDescent="0.3">
      <c r="A895" s="12" t="s">
        <v>1854</v>
      </c>
      <c r="B895" s="12" t="s">
        <v>1855</v>
      </c>
      <c r="C895" s="12" t="s">
        <v>18</v>
      </c>
      <c r="D895" s="12">
        <v>29</v>
      </c>
      <c r="E895" s="12" t="s">
        <v>60</v>
      </c>
      <c r="F895" s="12" t="s">
        <v>17</v>
      </c>
      <c r="G895" s="12" t="s">
        <v>99</v>
      </c>
      <c r="H895" s="12" t="s">
        <v>62</v>
      </c>
      <c r="I895" s="12">
        <v>7</v>
      </c>
      <c r="J895" s="12">
        <v>106988</v>
      </c>
      <c r="K895" s="12">
        <v>94.67</v>
      </c>
      <c r="L895" s="12">
        <v>7</v>
      </c>
      <c r="M895" s="12">
        <v>54</v>
      </c>
      <c r="N895" s="12">
        <v>79</v>
      </c>
      <c r="O895" s="12" t="s">
        <v>22</v>
      </c>
      <c r="P895" s="12">
        <v>7.72</v>
      </c>
      <c r="Q895" s="12" t="s">
        <v>23</v>
      </c>
    </row>
    <row r="896" spans="1:17" x14ac:dyDescent="0.3">
      <c r="A896" s="12" t="s">
        <v>1856</v>
      </c>
      <c r="B896" s="12" t="s">
        <v>1857</v>
      </c>
      <c r="C896" s="12" t="s">
        <v>19</v>
      </c>
      <c r="D896" s="12">
        <v>48</v>
      </c>
      <c r="E896" s="12" t="s">
        <v>55</v>
      </c>
      <c r="F896" s="12" t="s">
        <v>16</v>
      </c>
      <c r="G896" s="12" t="s">
        <v>76</v>
      </c>
      <c r="H896" s="12" t="s">
        <v>62</v>
      </c>
      <c r="I896" s="12">
        <v>3</v>
      </c>
      <c r="J896" s="12">
        <v>43008</v>
      </c>
      <c r="K896" s="12">
        <v>95.55</v>
      </c>
      <c r="L896" s="12">
        <v>3</v>
      </c>
      <c r="M896" s="12">
        <v>24</v>
      </c>
      <c r="N896" s="12">
        <v>11</v>
      </c>
      <c r="O896" s="12" t="s">
        <v>22</v>
      </c>
      <c r="P896" s="12">
        <v>6.13</v>
      </c>
      <c r="Q896" s="12" t="s">
        <v>23</v>
      </c>
    </row>
    <row r="897" spans="1:17" x14ac:dyDescent="0.3">
      <c r="A897" s="12" t="s">
        <v>1858</v>
      </c>
      <c r="B897" s="12" t="s">
        <v>1859</v>
      </c>
      <c r="C897" s="12" t="s">
        <v>19</v>
      </c>
      <c r="D897" s="12">
        <v>23</v>
      </c>
      <c r="E897" s="12" t="s">
        <v>55</v>
      </c>
      <c r="F897" s="12" t="s">
        <v>15</v>
      </c>
      <c r="G897" s="12" t="s">
        <v>130</v>
      </c>
      <c r="H897" s="12" t="s">
        <v>86</v>
      </c>
      <c r="I897" s="12">
        <v>1</v>
      </c>
      <c r="J897" s="12">
        <v>97506</v>
      </c>
      <c r="K897" s="12">
        <v>84.2</v>
      </c>
      <c r="L897" s="12">
        <v>14</v>
      </c>
      <c r="M897" s="12">
        <v>2</v>
      </c>
      <c r="N897" s="12">
        <v>64</v>
      </c>
      <c r="O897" s="12" t="s">
        <v>22</v>
      </c>
      <c r="P897" s="12">
        <v>6.9</v>
      </c>
      <c r="Q897" s="12" t="s">
        <v>23</v>
      </c>
    </row>
    <row r="898" spans="1:17" x14ac:dyDescent="0.3">
      <c r="A898" s="12" t="s">
        <v>1860</v>
      </c>
      <c r="B898" s="12" t="s">
        <v>1861</v>
      </c>
      <c r="C898" s="12" t="s">
        <v>19</v>
      </c>
      <c r="D898" s="12">
        <v>35</v>
      </c>
      <c r="E898" s="12" t="s">
        <v>91</v>
      </c>
      <c r="F898" s="12" t="s">
        <v>13</v>
      </c>
      <c r="G898" s="12" t="s">
        <v>66</v>
      </c>
      <c r="H898" s="12" t="s">
        <v>57</v>
      </c>
      <c r="I898" s="12">
        <v>2</v>
      </c>
      <c r="J898" s="12">
        <v>50091</v>
      </c>
      <c r="K898" s="12">
        <v>95.54</v>
      </c>
      <c r="L898" s="12">
        <v>10</v>
      </c>
      <c r="M898" s="12">
        <v>52</v>
      </c>
      <c r="N898" s="12">
        <v>104</v>
      </c>
      <c r="O898" s="12" t="s">
        <v>21</v>
      </c>
      <c r="P898" s="12">
        <v>8.86</v>
      </c>
      <c r="Q898" s="12" t="s">
        <v>23</v>
      </c>
    </row>
    <row r="899" spans="1:17" x14ac:dyDescent="0.3">
      <c r="A899" s="12" t="s">
        <v>1862</v>
      </c>
      <c r="B899" s="12" t="s">
        <v>1863</v>
      </c>
      <c r="C899" s="12" t="s">
        <v>18</v>
      </c>
      <c r="D899" s="12">
        <v>57</v>
      </c>
      <c r="E899" s="12" t="s">
        <v>55</v>
      </c>
      <c r="F899" s="12" t="s">
        <v>14</v>
      </c>
      <c r="G899" s="12" t="s">
        <v>248</v>
      </c>
      <c r="H899" s="12" t="s">
        <v>57</v>
      </c>
      <c r="I899" s="12">
        <v>9</v>
      </c>
      <c r="J899" s="12">
        <v>87348</v>
      </c>
      <c r="K899" s="12">
        <v>78.36</v>
      </c>
      <c r="L899" s="12">
        <v>3</v>
      </c>
      <c r="M899" s="12">
        <v>16</v>
      </c>
      <c r="N899" s="12">
        <v>22</v>
      </c>
      <c r="O899" s="12" t="s">
        <v>22</v>
      </c>
      <c r="P899" s="12">
        <v>5.08</v>
      </c>
      <c r="Q899" s="12" t="s">
        <v>23</v>
      </c>
    </row>
    <row r="900" spans="1:17" x14ac:dyDescent="0.3">
      <c r="A900" s="12" t="s">
        <v>1864</v>
      </c>
      <c r="B900" s="12" t="s">
        <v>1865</v>
      </c>
      <c r="C900" s="12" t="s">
        <v>19</v>
      </c>
      <c r="D900" s="12">
        <v>28</v>
      </c>
      <c r="E900" s="12" t="s">
        <v>55</v>
      </c>
      <c r="F900" s="12" t="s">
        <v>13</v>
      </c>
      <c r="G900" s="12" t="s">
        <v>56</v>
      </c>
      <c r="H900" s="12" t="s">
        <v>86</v>
      </c>
      <c r="I900" s="12">
        <v>0</v>
      </c>
      <c r="J900" s="12">
        <v>50165</v>
      </c>
      <c r="K900" s="12">
        <v>99.03</v>
      </c>
      <c r="L900" s="12">
        <v>17</v>
      </c>
      <c r="M900" s="12">
        <v>8</v>
      </c>
      <c r="N900" s="12">
        <v>10</v>
      </c>
      <c r="O900" s="12" t="s">
        <v>22</v>
      </c>
      <c r="P900" s="12">
        <v>7.9</v>
      </c>
      <c r="Q900" s="12" t="s">
        <v>23</v>
      </c>
    </row>
    <row r="901" spans="1:17" x14ac:dyDescent="0.3">
      <c r="A901" s="12" t="s">
        <v>1866</v>
      </c>
      <c r="B901" s="12" t="s">
        <v>1867</v>
      </c>
      <c r="C901" s="12" t="s">
        <v>19</v>
      </c>
      <c r="D901" s="12">
        <v>39</v>
      </c>
      <c r="E901" s="12" t="s">
        <v>80</v>
      </c>
      <c r="F901" s="12" t="s">
        <v>13</v>
      </c>
      <c r="G901" s="12" t="s">
        <v>66</v>
      </c>
      <c r="H901" s="12" t="s">
        <v>77</v>
      </c>
      <c r="I901" s="12">
        <v>17</v>
      </c>
      <c r="J901" s="12">
        <v>47437</v>
      </c>
      <c r="K901" s="12">
        <v>65.2</v>
      </c>
      <c r="L901" s="12">
        <v>12</v>
      </c>
      <c r="M901" s="12">
        <v>16</v>
      </c>
      <c r="N901" s="12">
        <v>117</v>
      </c>
      <c r="O901" s="12" t="s">
        <v>21</v>
      </c>
      <c r="P901" s="12">
        <v>8.69</v>
      </c>
      <c r="Q901" s="12" t="s">
        <v>24</v>
      </c>
    </row>
    <row r="902" spans="1:17" x14ac:dyDescent="0.3">
      <c r="A902" s="12" t="s">
        <v>1868</v>
      </c>
      <c r="B902" s="12" t="s">
        <v>1869</v>
      </c>
      <c r="C902" s="12" t="s">
        <v>19</v>
      </c>
      <c r="D902" s="12">
        <v>57</v>
      </c>
      <c r="E902" s="12" t="s">
        <v>65</v>
      </c>
      <c r="F902" s="12" t="s">
        <v>15</v>
      </c>
      <c r="G902" s="12" t="s">
        <v>130</v>
      </c>
      <c r="H902" s="12" t="s">
        <v>57</v>
      </c>
      <c r="I902" s="12">
        <v>12</v>
      </c>
      <c r="J902" s="12">
        <v>132196</v>
      </c>
      <c r="K902" s="12">
        <v>67.33</v>
      </c>
      <c r="L902" s="12">
        <v>14</v>
      </c>
      <c r="M902" s="12">
        <v>51</v>
      </c>
      <c r="N902" s="12">
        <v>19</v>
      </c>
      <c r="O902" s="12" t="s">
        <v>21</v>
      </c>
      <c r="P902" s="12">
        <v>6.87</v>
      </c>
      <c r="Q902" s="12" t="s">
        <v>23</v>
      </c>
    </row>
    <row r="903" spans="1:17" x14ac:dyDescent="0.3">
      <c r="A903" s="12" t="s">
        <v>1870</v>
      </c>
      <c r="B903" s="12" t="s">
        <v>1871</v>
      </c>
      <c r="C903" s="12" t="s">
        <v>19</v>
      </c>
      <c r="D903" s="12">
        <v>56</v>
      </c>
      <c r="E903" s="12" t="s">
        <v>80</v>
      </c>
      <c r="F903" s="12" t="s">
        <v>14</v>
      </c>
      <c r="G903" s="12" t="s">
        <v>110</v>
      </c>
      <c r="H903" s="12" t="s">
        <v>57</v>
      </c>
      <c r="I903" s="12">
        <v>14</v>
      </c>
      <c r="J903" s="12">
        <v>60223</v>
      </c>
      <c r="K903" s="12">
        <v>76.040000000000006</v>
      </c>
      <c r="L903" s="12">
        <v>2</v>
      </c>
      <c r="M903" s="12">
        <v>8</v>
      </c>
      <c r="N903" s="12">
        <v>66</v>
      </c>
      <c r="O903" s="12" t="s">
        <v>20</v>
      </c>
      <c r="P903" s="12">
        <v>6.9</v>
      </c>
      <c r="Q903" s="12" t="s">
        <v>23</v>
      </c>
    </row>
    <row r="904" spans="1:17" x14ac:dyDescent="0.3">
      <c r="A904" s="12" t="s">
        <v>1872</v>
      </c>
      <c r="B904" s="12" t="s">
        <v>1873</v>
      </c>
      <c r="C904" s="12" t="s">
        <v>18</v>
      </c>
      <c r="D904" s="12">
        <v>32</v>
      </c>
      <c r="E904" s="12" t="s">
        <v>80</v>
      </c>
      <c r="F904" s="12" t="s">
        <v>13</v>
      </c>
      <c r="G904" s="12" t="s">
        <v>66</v>
      </c>
      <c r="H904" s="12" t="s">
        <v>86</v>
      </c>
      <c r="I904" s="12">
        <v>2</v>
      </c>
      <c r="J904" s="12">
        <v>48589</v>
      </c>
      <c r="K904" s="12">
        <v>93.19</v>
      </c>
      <c r="L904" s="12">
        <v>14</v>
      </c>
      <c r="M904" s="12">
        <v>28</v>
      </c>
      <c r="N904" s="12">
        <v>81</v>
      </c>
      <c r="O904" s="12" t="s">
        <v>22</v>
      </c>
      <c r="P904" s="12">
        <v>7.49</v>
      </c>
      <c r="Q904" s="12" t="s">
        <v>23</v>
      </c>
    </row>
    <row r="905" spans="1:17" x14ac:dyDescent="0.3">
      <c r="A905" s="12" t="s">
        <v>1874</v>
      </c>
      <c r="B905" s="12" t="s">
        <v>1875</v>
      </c>
      <c r="C905" s="12" t="s">
        <v>18</v>
      </c>
      <c r="D905" s="12">
        <v>40</v>
      </c>
      <c r="E905" s="12" t="s">
        <v>69</v>
      </c>
      <c r="F905" s="12" t="s">
        <v>16</v>
      </c>
      <c r="G905" s="12" t="s">
        <v>76</v>
      </c>
      <c r="H905" s="12" t="s">
        <v>77</v>
      </c>
      <c r="I905" s="12">
        <v>16</v>
      </c>
      <c r="J905" s="12">
        <v>115016</v>
      </c>
      <c r="K905" s="12">
        <v>77.27</v>
      </c>
      <c r="L905" s="12">
        <v>6</v>
      </c>
      <c r="M905" s="12">
        <v>6</v>
      </c>
      <c r="N905" s="12">
        <v>34</v>
      </c>
      <c r="O905" s="12" t="s">
        <v>22</v>
      </c>
      <c r="P905" s="12">
        <v>7.22</v>
      </c>
      <c r="Q905" s="12" t="s">
        <v>23</v>
      </c>
    </row>
    <row r="906" spans="1:17" x14ac:dyDescent="0.3">
      <c r="A906" s="12" t="s">
        <v>1876</v>
      </c>
      <c r="B906" s="12" t="s">
        <v>1877</v>
      </c>
      <c r="C906" s="12" t="s">
        <v>19</v>
      </c>
      <c r="D906" s="12">
        <v>24</v>
      </c>
      <c r="E906" s="12" t="s">
        <v>55</v>
      </c>
      <c r="F906" s="12" t="s">
        <v>17</v>
      </c>
      <c r="G906" s="12" t="s">
        <v>135</v>
      </c>
      <c r="H906" s="12" t="s">
        <v>77</v>
      </c>
      <c r="I906" s="12">
        <v>1</v>
      </c>
      <c r="J906" s="12">
        <v>112552</v>
      </c>
      <c r="K906" s="12">
        <v>65.989999999999995</v>
      </c>
      <c r="L906" s="12">
        <v>3</v>
      </c>
      <c r="M906" s="12">
        <v>60</v>
      </c>
      <c r="N906" s="12">
        <v>72</v>
      </c>
      <c r="O906" s="12" t="s">
        <v>21</v>
      </c>
      <c r="P906" s="12">
        <v>5.67</v>
      </c>
      <c r="Q906" s="12" t="s">
        <v>23</v>
      </c>
    </row>
    <row r="907" spans="1:17" x14ac:dyDescent="0.3">
      <c r="A907" s="12" t="s">
        <v>1878</v>
      </c>
      <c r="B907" s="12" t="s">
        <v>1879</v>
      </c>
      <c r="C907" s="12" t="s">
        <v>18</v>
      </c>
      <c r="D907" s="12">
        <v>50</v>
      </c>
      <c r="E907" s="12" t="s">
        <v>91</v>
      </c>
      <c r="F907" s="12" t="s">
        <v>15</v>
      </c>
      <c r="G907" s="12" t="s">
        <v>61</v>
      </c>
      <c r="H907" s="12" t="s">
        <v>62</v>
      </c>
      <c r="I907" s="12">
        <v>16</v>
      </c>
      <c r="J907" s="12">
        <v>132910</v>
      </c>
      <c r="K907" s="12">
        <v>73.400000000000006</v>
      </c>
      <c r="L907" s="12">
        <v>3</v>
      </c>
      <c r="M907" s="12">
        <v>5</v>
      </c>
      <c r="N907" s="12">
        <v>90</v>
      </c>
      <c r="O907" s="12" t="s">
        <v>20</v>
      </c>
      <c r="P907" s="12">
        <v>7.39</v>
      </c>
      <c r="Q907" s="12" t="s">
        <v>23</v>
      </c>
    </row>
    <row r="908" spans="1:17" x14ac:dyDescent="0.3">
      <c r="A908" s="12" t="s">
        <v>1880</v>
      </c>
      <c r="B908" s="12" t="s">
        <v>1881</v>
      </c>
      <c r="C908" s="12" t="s">
        <v>19</v>
      </c>
      <c r="D908" s="12">
        <v>58</v>
      </c>
      <c r="E908" s="12" t="s">
        <v>60</v>
      </c>
      <c r="F908" s="12" t="s">
        <v>12</v>
      </c>
      <c r="G908" s="12" t="s">
        <v>92</v>
      </c>
      <c r="H908" s="12" t="s">
        <v>86</v>
      </c>
      <c r="I908" s="12">
        <v>8</v>
      </c>
      <c r="J908" s="12">
        <v>122005</v>
      </c>
      <c r="K908" s="12">
        <v>91.36</v>
      </c>
      <c r="L908" s="12">
        <v>1</v>
      </c>
      <c r="M908" s="12">
        <v>35</v>
      </c>
      <c r="N908" s="12">
        <v>102</v>
      </c>
      <c r="O908" s="12" t="s">
        <v>21</v>
      </c>
      <c r="P908" s="12">
        <v>6.42</v>
      </c>
      <c r="Q908" s="12" t="s">
        <v>23</v>
      </c>
    </row>
    <row r="909" spans="1:17" x14ac:dyDescent="0.3">
      <c r="A909" s="12" t="s">
        <v>1882</v>
      </c>
      <c r="B909" s="12" t="s">
        <v>1883</v>
      </c>
      <c r="C909" s="12" t="s">
        <v>19</v>
      </c>
      <c r="D909" s="12">
        <v>33</v>
      </c>
      <c r="E909" s="12" t="s">
        <v>91</v>
      </c>
      <c r="F909" s="12" t="s">
        <v>14</v>
      </c>
      <c r="G909" s="12" t="s">
        <v>248</v>
      </c>
      <c r="H909" s="12" t="s">
        <v>57</v>
      </c>
      <c r="I909" s="12">
        <v>7</v>
      </c>
      <c r="J909" s="12">
        <v>75151</v>
      </c>
      <c r="K909" s="12">
        <v>82.8</v>
      </c>
      <c r="L909" s="12">
        <v>14</v>
      </c>
      <c r="M909" s="12">
        <v>59</v>
      </c>
      <c r="N909" s="12">
        <v>105</v>
      </c>
      <c r="O909" s="12" t="s">
        <v>20</v>
      </c>
      <c r="P909" s="12">
        <v>8.94</v>
      </c>
      <c r="Q909" s="12" t="s">
        <v>24</v>
      </c>
    </row>
    <row r="910" spans="1:17" x14ac:dyDescent="0.3">
      <c r="A910" s="12" t="s">
        <v>1884</v>
      </c>
      <c r="B910" s="12" t="s">
        <v>1885</v>
      </c>
      <c r="C910" s="12" t="s">
        <v>18</v>
      </c>
      <c r="D910" s="12">
        <v>22</v>
      </c>
      <c r="E910" s="12" t="s">
        <v>80</v>
      </c>
      <c r="F910" s="12" t="s">
        <v>17</v>
      </c>
      <c r="G910" s="12" t="s">
        <v>135</v>
      </c>
      <c r="H910" s="12" t="s">
        <v>62</v>
      </c>
      <c r="I910" s="12">
        <v>1</v>
      </c>
      <c r="J910" s="12">
        <v>125806</v>
      </c>
      <c r="K910" s="12">
        <v>72.39</v>
      </c>
      <c r="L910" s="12">
        <v>16</v>
      </c>
      <c r="M910" s="12">
        <v>17</v>
      </c>
      <c r="N910" s="12">
        <v>45</v>
      </c>
      <c r="O910" s="12" t="s">
        <v>22</v>
      </c>
      <c r="P910" s="12">
        <v>7.03</v>
      </c>
      <c r="Q910" s="12" t="s">
        <v>23</v>
      </c>
    </row>
    <row r="911" spans="1:17" x14ac:dyDescent="0.3">
      <c r="A911" s="12" t="s">
        <v>1886</v>
      </c>
      <c r="B911" s="12" t="s">
        <v>1887</v>
      </c>
      <c r="C911" s="12" t="s">
        <v>18</v>
      </c>
      <c r="D911" s="12">
        <v>47</v>
      </c>
      <c r="E911" s="12" t="s">
        <v>69</v>
      </c>
      <c r="F911" s="12" t="s">
        <v>17</v>
      </c>
      <c r="G911" s="12" t="s">
        <v>102</v>
      </c>
      <c r="H911" s="12" t="s">
        <v>86</v>
      </c>
      <c r="I911" s="12">
        <v>9</v>
      </c>
      <c r="J911" s="12">
        <v>125060</v>
      </c>
      <c r="K911" s="12">
        <v>70.569999999999993</v>
      </c>
      <c r="L911" s="12">
        <v>15</v>
      </c>
      <c r="M911" s="12">
        <v>5</v>
      </c>
      <c r="N911" s="12">
        <v>24</v>
      </c>
      <c r="O911" s="12" t="s">
        <v>20</v>
      </c>
      <c r="P911" s="12">
        <v>7.29</v>
      </c>
      <c r="Q911" s="12" t="s">
        <v>23</v>
      </c>
    </row>
    <row r="912" spans="1:17" x14ac:dyDescent="0.3">
      <c r="A912" s="12" t="s">
        <v>1888</v>
      </c>
      <c r="B912" s="12" t="s">
        <v>1889</v>
      </c>
      <c r="C912" s="12" t="s">
        <v>18</v>
      </c>
      <c r="D912" s="12">
        <v>45</v>
      </c>
      <c r="E912" s="12" t="s">
        <v>55</v>
      </c>
      <c r="F912" s="12" t="s">
        <v>15</v>
      </c>
      <c r="G912" s="12" t="s">
        <v>73</v>
      </c>
      <c r="H912" s="12" t="s">
        <v>62</v>
      </c>
      <c r="I912" s="12">
        <v>17</v>
      </c>
      <c r="J912" s="12">
        <v>30613</v>
      </c>
      <c r="K912" s="12">
        <v>72.349999999999994</v>
      </c>
      <c r="L912" s="12">
        <v>1</v>
      </c>
      <c r="M912" s="12">
        <v>36</v>
      </c>
      <c r="N912" s="12">
        <v>5</v>
      </c>
      <c r="O912" s="12" t="s">
        <v>22</v>
      </c>
      <c r="P912" s="12">
        <v>3.8</v>
      </c>
      <c r="Q912" s="12" t="s">
        <v>23</v>
      </c>
    </row>
    <row r="913" spans="1:17" x14ac:dyDescent="0.3">
      <c r="A913" s="12" t="s">
        <v>1890</v>
      </c>
      <c r="B913" s="12" t="s">
        <v>1891</v>
      </c>
      <c r="C913" s="12" t="s">
        <v>19</v>
      </c>
      <c r="D913" s="12">
        <v>43</v>
      </c>
      <c r="E913" s="12" t="s">
        <v>80</v>
      </c>
      <c r="F913" s="12" t="s">
        <v>15</v>
      </c>
      <c r="G913" s="12" t="s">
        <v>73</v>
      </c>
      <c r="H913" s="12" t="s">
        <v>57</v>
      </c>
      <c r="I913" s="12">
        <v>12</v>
      </c>
      <c r="J913" s="12">
        <v>94064</v>
      </c>
      <c r="K913" s="12">
        <v>92.66</v>
      </c>
      <c r="L913" s="12">
        <v>5</v>
      </c>
      <c r="M913" s="12">
        <v>25</v>
      </c>
      <c r="N913" s="12">
        <v>92</v>
      </c>
      <c r="O913" s="12" t="s">
        <v>22</v>
      </c>
      <c r="P913" s="12">
        <v>7</v>
      </c>
      <c r="Q913" s="12" t="s">
        <v>23</v>
      </c>
    </row>
    <row r="914" spans="1:17" x14ac:dyDescent="0.3">
      <c r="A914" s="12" t="s">
        <v>1892</v>
      </c>
      <c r="B914" s="12" t="s">
        <v>1893</v>
      </c>
      <c r="C914" s="12" t="s">
        <v>18</v>
      </c>
      <c r="D914" s="12">
        <v>22</v>
      </c>
      <c r="E914" s="12" t="s">
        <v>55</v>
      </c>
      <c r="F914" s="12" t="s">
        <v>17</v>
      </c>
      <c r="G914" s="12" t="s">
        <v>135</v>
      </c>
      <c r="H914" s="12" t="s">
        <v>86</v>
      </c>
      <c r="I914" s="12">
        <v>1</v>
      </c>
      <c r="J914" s="12">
        <v>77638</v>
      </c>
      <c r="K914" s="12">
        <v>89.94</v>
      </c>
      <c r="L914" s="12">
        <v>6</v>
      </c>
      <c r="M914" s="12">
        <v>14</v>
      </c>
      <c r="N914" s="12">
        <v>116</v>
      </c>
      <c r="O914" s="12" t="s">
        <v>22</v>
      </c>
      <c r="P914" s="12">
        <v>6.89</v>
      </c>
      <c r="Q914" s="12" t="s">
        <v>23</v>
      </c>
    </row>
    <row r="915" spans="1:17" x14ac:dyDescent="0.3">
      <c r="A915" s="12" t="s">
        <v>1894</v>
      </c>
      <c r="B915" s="12" t="s">
        <v>1895</v>
      </c>
      <c r="C915" s="12" t="s">
        <v>18</v>
      </c>
      <c r="D915" s="12">
        <v>52</v>
      </c>
      <c r="E915" s="12" t="s">
        <v>55</v>
      </c>
      <c r="F915" s="12" t="s">
        <v>14</v>
      </c>
      <c r="G915" s="12" t="s">
        <v>70</v>
      </c>
      <c r="H915" s="12" t="s">
        <v>57</v>
      </c>
      <c r="I915" s="12">
        <v>0</v>
      </c>
      <c r="J915" s="12">
        <v>135857</v>
      </c>
      <c r="K915" s="12">
        <v>76.650000000000006</v>
      </c>
      <c r="L915" s="12">
        <v>12</v>
      </c>
      <c r="M915" s="12">
        <v>4</v>
      </c>
      <c r="N915" s="12">
        <v>34</v>
      </c>
      <c r="O915" s="12" t="s">
        <v>22</v>
      </c>
      <c r="P915" s="12">
        <v>6.34</v>
      </c>
      <c r="Q915" s="12" t="s">
        <v>23</v>
      </c>
    </row>
    <row r="916" spans="1:17" x14ac:dyDescent="0.3">
      <c r="A916" s="12" t="s">
        <v>1896</v>
      </c>
      <c r="B916" s="12" t="s">
        <v>1897</v>
      </c>
      <c r="C916" s="12" t="s">
        <v>18</v>
      </c>
      <c r="D916" s="12">
        <v>44</v>
      </c>
      <c r="E916" s="12" t="s">
        <v>91</v>
      </c>
      <c r="F916" s="12" t="s">
        <v>17</v>
      </c>
      <c r="G916" s="12" t="s">
        <v>102</v>
      </c>
      <c r="H916" s="12" t="s">
        <v>86</v>
      </c>
      <c r="I916" s="12">
        <v>19</v>
      </c>
      <c r="J916" s="12">
        <v>120132</v>
      </c>
      <c r="K916" s="12">
        <v>93.49</v>
      </c>
      <c r="L916" s="12">
        <v>16</v>
      </c>
      <c r="M916" s="12">
        <v>58</v>
      </c>
      <c r="N916" s="12">
        <v>14</v>
      </c>
      <c r="O916" s="12" t="s">
        <v>21</v>
      </c>
      <c r="P916" s="12">
        <v>7.47</v>
      </c>
      <c r="Q916" s="12" t="s">
        <v>23</v>
      </c>
    </row>
    <row r="917" spans="1:17" x14ac:dyDescent="0.3">
      <c r="A917" s="12" t="s">
        <v>1898</v>
      </c>
      <c r="B917" s="12" t="s">
        <v>1899</v>
      </c>
      <c r="C917" s="12" t="s">
        <v>18</v>
      </c>
      <c r="D917" s="12">
        <v>41</v>
      </c>
      <c r="E917" s="12" t="s">
        <v>65</v>
      </c>
      <c r="F917" s="12" t="s">
        <v>16</v>
      </c>
      <c r="G917" s="12" t="s">
        <v>76</v>
      </c>
      <c r="H917" s="12" t="s">
        <v>86</v>
      </c>
      <c r="I917" s="12">
        <v>20</v>
      </c>
      <c r="J917" s="12">
        <v>64983</v>
      </c>
      <c r="K917" s="12">
        <v>92.66</v>
      </c>
      <c r="L917" s="12">
        <v>6</v>
      </c>
      <c r="M917" s="12">
        <v>54</v>
      </c>
      <c r="N917" s="12">
        <v>23</v>
      </c>
      <c r="O917" s="12" t="s">
        <v>20</v>
      </c>
      <c r="P917" s="12">
        <v>7.25</v>
      </c>
      <c r="Q917" s="12" t="s">
        <v>23</v>
      </c>
    </row>
    <row r="918" spans="1:17" x14ac:dyDescent="0.3">
      <c r="A918" s="12" t="s">
        <v>1900</v>
      </c>
      <c r="B918" s="12" t="s">
        <v>1901</v>
      </c>
      <c r="C918" s="12" t="s">
        <v>18</v>
      </c>
      <c r="D918" s="12">
        <v>41</v>
      </c>
      <c r="E918" s="12" t="s">
        <v>69</v>
      </c>
      <c r="F918" s="12" t="s">
        <v>14</v>
      </c>
      <c r="G918" s="12" t="s">
        <v>110</v>
      </c>
      <c r="H918" s="12" t="s">
        <v>62</v>
      </c>
      <c r="I918" s="12">
        <v>14</v>
      </c>
      <c r="J918" s="12">
        <v>160213</v>
      </c>
      <c r="K918" s="12">
        <v>93.34</v>
      </c>
      <c r="L918" s="12">
        <v>6</v>
      </c>
      <c r="M918" s="12">
        <v>43</v>
      </c>
      <c r="N918" s="12">
        <v>53</v>
      </c>
      <c r="O918" s="12" t="s">
        <v>21</v>
      </c>
      <c r="P918" s="12">
        <v>6.2</v>
      </c>
      <c r="Q918" s="12" t="s">
        <v>23</v>
      </c>
    </row>
    <row r="919" spans="1:17" x14ac:dyDescent="0.3">
      <c r="A919" s="12" t="s">
        <v>1902</v>
      </c>
      <c r="B919" s="12" t="s">
        <v>1903</v>
      </c>
      <c r="C919" s="12" t="s">
        <v>18</v>
      </c>
      <c r="D919" s="12">
        <v>54</v>
      </c>
      <c r="E919" s="12" t="s">
        <v>80</v>
      </c>
      <c r="F919" s="12" t="s">
        <v>17</v>
      </c>
      <c r="G919" s="12" t="s">
        <v>135</v>
      </c>
      <c r="H919" s="12" t="s">
        <v>77</v>
      </c>
      <c r="I919" s="12">
        <v>8</v>
      </c>
      <c r="J919" s="12">
        <v>75162</v>
      </c>
      <c r="K919" s="12">
        <v>87.9</v>
      </c>
      <c r="L919" s="12">
        <v>16</v>
      </c>
      <c r="M919" s="12">
        <v>7</v>
      </c>
      <c r="N919" s="12">
        <v>46</v>
      </c>
      <c r="O919" s="12" t="s">
        <v>22</v>
      </c>
      <c r="P919" s="12">
        <v>8.32</v>
      </c>
      <c r="Q919" s="12" t="s">
        <v>23</v>
      </c>
    </row>
    <row r="920" spans="1:17" x14ac:dyDescent="0.3">
      <c r="A920" s="12" t="s">
        <v>1904</v>
      </c>
      <c r="B920" s="12" t="s">
        <v>1905</v>
      </c>
      <c r="C920" s="12" t="s">
        <v>19</v>
      </c>
      <c r="D920" s="12">
        <v>57</v>
      </c>
      <c r="E920" s="12" t="s">
        <v>91</v>
      </c>
      <c r="F920" s="12" t="s">
        <v>15</v>
      </c>
      <c r="G920" s="12" t="s">
        <v>73</v>
      </c>
      <c r="H920" s="12" t="s">
        <v>77</v>
      </c>
      <c r="I920" s="12">
        <v>6</v>
      </c>
      <c r="J920" s="12">
        <v>118606</v>
      </c>
      <c r="K920" s="12">
        <v>67.430000000000007</v>
      </c>
      <c r="L920" s="12">
        <v>7</v>
      </c>
      <c r="M920" s="12">
        <v>48</v>
      </c>
      <c r="N920" s="12">
        <v>53</v>
      </c>
      <c r="O920" s="12" t="s">
        <v>21</v>
      </c>
      <c r="P920" s="12">
        <v>6.46</v>
      </c>
      <c r="Q920" s="12" t="s">
        <v>23</v>
      </c>
    </row>
    <row r="921" spans="1:17" x14ac:dyDescent="0.3">
      <c r="A921" s="12" t="s">
        <v>1906</v>
      </c>
      <c r="B921" s="12" t="s">
        <v>1907</v>
      </c>
      <c r="C921" s="12" t="s">
        <v>18</v>
      </c>
      <c r="D921" s="12">
        <v>24</v>
      </c>
      <c r="E921" s="12" t="s">
        <v>60</v>
      </c>
      <c r="F921" s="12" t="s">
        <v>15</v>
      </c>
      <c r="G921" s="12" t="s">
        <v>73</v>
      </c>
      <c r="H921" s="12" t="s">
        <v>86</v>
      </c>
      <c r="I921" s="12">
        <v>2</v>
      </c>
      <c r="J921" s="12">
        <v>128025</v>
      </c>
      <c r="K921" s="12">
        <v>74.25</v>
      </c>
      <c r="L921" s="12">
        <v>10</v>
      </c>
      <c r="M921" s="12">
        <v>33</v>
      </c>
      <c r="N921" s="12">
        <v>50</v>
      </c>
      <c r="O921" s="12" t="s">
        <v>20</v>
      </c>
      <c r="P921" s="12">
        <v>6.39</v>
      </c>
      <c r="Q921" s="12" t="s">
        <v>23</v>
      </c>
    </row>
    <row r="922" spans="1:17" x14ac:dyDescent="0.3">
      <c r="A922" s="12" t="s">
        <v>1908</v>
      </c>
      <c r="B922" s="12" t="s">
        <v>1909</v>
      </c>
      <c r="C922" s="12" t="s">
        <v>18</v>
      </c>
      <c r="D922" s="12">
        <v>27</v>
      </c>
      <c r="E922" s="12" t="s">
        <v>60</v>
      </c>
      <c r="F922" s="12" t="s">
        <v>15</v>
      </c>
      <c r="G922" s="12" t="s">
        <v>61</v>
      </c>
      <c r="H922" s="12" t="s">
        <v>77</v>
      </c>
      <c r="I922" s="12">
        <v>5</v>
      </c>
      <c r="J922" s="12">
        <v>85412</v>
      </c>
      <c r="K922" s="12">
        <v>87.68</v>
      </c>
      <c r="L922" s="12">
        <v>14</v>
      </c>
      <c r="M922" s="12">
        <v>5</v>
      </c>
      <c r="N922" s="12">
        <v>99</v>
      </c>
      <c r="O922" s="12" t="s">
        <v>21</v>
      </c>
      <c r="P922" s="12">
        <v>9.4499999999999993</v>
      </c>
      <c r="Q922" s="12" t="s">
        <v>24</v>
      </c>
    </row>
    <row r="923" spans="1:17" x14ac:dyDescent="0.3">
      <c r="A923" s="12" t="s">
        <v>1910</v>
      </c>
      <c r="B923" s="12" t="s">
        <v>1911</v>
      </c>
      <c r="C923" s="12" t="s">
        <v>18</v>
      </c>
      <c r="D923" s="12">
        <v>46</v>
      </c>
      <c r="E923" s="12" t="s">
        <v>60</v>
      </c>
      <c r="F923" s="12" t="s">
        <v>15</v>
      </c>
      <c r="G923" s="12" t="s">
        <v>61</v>
      </c>
      <c r="H923" s="12" t="s">
        <v>62</v>
      </c>
      <c r="I923" s="12">
        <v>19</v>
      </c>
      <c r="J923" s="12">
        <v>131497</v>
      </c>
      <c r="K923" s="12">
        <v>88.33</v>
      </c>
      <c r="L923" s="12">
        <v>10</v>
      </c>
      <c r="M923" s="12">
        <v>59</v>
      </c>
      <c r="N923" s="12">
        <v>112</v>
      </c>
      <c r="O923" s="12" t="s">
        <v>21</v>
      </c>
      <c r="P923" s="12">
        <v>8.65</v>
      </c>
      <c r="Q923" s="12" t="s">
        <v>24</v>
      </c>
    </row>
    <row r="924" spans="1:17" x14ac:dyDescent="0.3">
      <c r="A924" s="12" t="s">
        <v>1912</v>
      </c>
      <c r="B924" s="12" t="s">
        <v>1913</v>
      </c>
      <c r="C924" s="12" t="s">
        <v>19</v>
      </c>
      <c r="D924" s="12">
        <v>45</v>
      </c>
      <c r="E924" s="12" t="s">
        <v>69</v>
      </c>
      <c r="F924" s="12" t="s">
        <v>13</v>
      </c>
      <c r="G924" s="12" t="s">
        <v>107</v>
      </c>
      <c r="H924" s="12" t="s">
        <v>57</v>
      </c>
      <c r="I924" s="12">
        <v>19</v>
      </c>
      <c r="J924" s="12">
        <v>79798</v>
      </c>
      <c r="K924" s="12">
        <v>88.12</v>
      </c>
      <c r="L924" s="12">
        <v>19</v>
      </c>
      <c r="M924" s="12">
        <v>56</v>
      </c>
      <c r="N924" s="12">
        <v>24</v>
      </c>
      <c r="O924" s="12" t="s">
        <v>20</v>
      </c>
      <c r="P924" s="12">
        <v>7.68</v>
      </c>
      <c r="Q924" s="12" t="s">
        <v>23</v>
      </c>
    </row>
    <row r="925" spans="1:17" x14ac:dyDescent="0.3">
      <c r="A925" s="12" t="s">
        <v>1914</v>
      </c>
      <c r="B925" s="12" t="s">
        <v>1915</v>
      </c>
      <c r="C925" s="12" t="s">
        <v>19</v>
      </c>
      <c r="D925" s="12">
        <v>52</v>
      </c>
      <c r="E925" s="12" t="s">
        <v>80</v>
      </c>
      <c r="F925" s="12" t="s">
        <v>15</v>
      </c>
      <c r="G925" s="12" t="s">
        <v>73</v>
      </c>
      <c r="H925" s="12" t="s">
        <v>86</v>
      </c>
      <c r="I925" s="12">
        <v>18</v>
      </c>
      <c r="J925" s="12">
        <v>51047</v>
      </c>
      <c r="K925" s="12">
        <v>84.58</v>
      </c>
      <c r="L925" s="12">
        <v>13</v>
      </c>
      <c r="M925" s="12">
        <v>48</v>
      </c>
      <c r="N925" s="12">
        <v>74</v>
      </c>
      <c r="O925" s="12" t="s">
        <v>22</v>
      </c>
      <c r="P925" s="12">
        <v>8.69</v>
      </c>
      <c r="Q925" s="12" t="s">
        <v>24</v>
      </c>
    </row>
    <row r="926" spans="1:17" x14ac:dyDescent="0.3">
      <c r="A926" s="12" t="s">
        <v>1916</v>
      </c>
      <c r="B926" s="12" t="s">
        <v>1917</v>
      </c>
      <c r="C926" s="12" t="s">
        <v>18</v>
      </c>
      <c r="D926" s="12">
        <v>34</v>
      </c>
      <c r="E926" s="12" t="s">
        <v>55</v>
      </c>
      <c r="F926" s="12" t="s">
        <v>12</v>
      </c>
      <c r="G926" s="12" t="s">
        <v>152</v>
      </c>
      <c r="H926" s="12" t="s">
        <v>86</v>
      </c>
      <c r="I926" s="12">
        <v>3</v>
      </c>
      <c r="J926" s="12">
        <v>98915</v>
      </c>
      <c r="K926" s="12">
        <v>77.02</v>
      </c>
      <c r="L926" s="12">
        <v>8</v>
      </c>
      <c r="M926" s="12">
        <v>29</v>
      </c>
      <c r="N926" s="12">
        <v>34</v>
      </c>
      <c r="O926" s="12" t="s">
        <v>22</v>
      </c>
      <c r="P926" s="12">
        <v>5.72</v>
      </c>
      <c r="Q926" s="12" t="s">
        <v>23</v>
      </c>
    </row>
    <row r="927" spans="1:17" x14ac:dyDescent="0.3">
      <c r="A927" s="12" t="s">
        <v>1918</v>
      </c>
      <c r="B927" s="12" t="s">
        <v>1919</v>
      </c>
      <c r="C927" s="12" t="s">
        <v>18</v>
      </c>
      <c r="D927" s="12">
        <v>29</v>
      </c>
      <c r="E927" s="12" t="s">
        <v>60</v>
      </c>
      <c r="F927" s="12" t="s">
        <v>17</v>
      </c>
      <c r="G927" s="12" t="s">
        <v>135</v>
      </c>
      <c r="H927" s="12" t="s">
        <v>57</v>
      </c>
      <c r="I927" s="12">
        <v>2</v>
      </c>
      <c r="J927" s="12">
        <v>102670</v>
      </c>
      <c r="K927" s="12">
        <v>96.75</v>
      </c>
      <c r="L927" s="12">
        <v>4</v>
      </c>
      <c r="M927" s="12">
        <v>30</v>
      </c>
      <c r="N927" s="12">
        <v>104</v>
      </c>
      <c r="O927" s="12" t="s">
        <v>22</v>
      </c>
      <c r="P927" s="12">
        <v>6.69</v>
      </c>
      <c r="Q927" s="12" t="s">
        <v>23</v>
      </c>
    </row>
    <row r="928" spans="1:17" x14ac:dyDescent="0.3">
      <c r="A928" s="12" t="s">
        <v>1920</v>
      </c>
      <c r="B928" s="12" t="s">
        <v>1921</v>
      </c>
      <c r="C928" s="12" t="s">
        <v>18</v>
      </c>
      <c r="D928" s="12">
        <v>45</v>
      </c>
      <c r="E928" s="12" t="s">
        <v>65</v>
      </c>
      <c r="F928" s="12" t="s">
        <v>16</v>
      </c>
      <c r="G928" s="12" t="s">
        <v>181</v>
      </c>
      <c r="H928" s="12" t="s">
        <v>57</v>
      </c>
      <c r="I928" s="12">
        <v>14</v>
      </c>
      <c r="J928" s="12">
        <v>84686</v>
      </c>
      <c r="K928" s="12">
        <v>65.19</v>
      </c>
      <c r="L928" s="12">
        <v>8</v>
      </c>
      <c r="M928" s="12">
        <v>37</v>
      </c>
      <c r="N928" s="12">
        <v>82</v>
      </c>
      <c r="O928" s="12" t="s">
        <v>22</v>
      </c>
      <c r="P928" s="12">
        <v>6.58</v>
      </c>
      <c r="Q928" s="12" t="s">
        <v>23</v>
      </c>
    </row>
    <row r="929" spans="1:17" x14ac:dyDescent="0.3">
      <c r="A929" s="12" t="s">
        <v>1922</v>
      </c>
      <c r="B929" s="12" t="s">
        <v>1923</v>
      </c>
      <c r="C929" s="12" t="s">
        <v>19</v>
      </c>
      <c r="D929" s="12">
        <v>34</v>
      </c>
      <c r="E929" s="12" t="s">
        <v>69</v>
      </c>
      <c r="F929" s="12" t="s">
        <v>12</v>
      </c>
      <c r="G929" s="12" t="s">
        <v>119</v>
      </c>
      <c r="H929" s="12" t="s">
        <v>57</v>
      </c>
      <c r="I929" s="12">
        <v>1</v>
      </c>
      <c r="J929" s="12">
        <v>72147</v>
      </c>
      <c r="K929" s="12">
        <v>65.39</v>
      </c>
      <c r="L929" s="12">
        <v>10</v>
      </c>
      <c r="M929" s="12">
        <v>32</v>
      </c>
      <c r="N929" s="12">
        <v>15</v>
      </c>
      <c r="O929" s="12" t="s">
        <v>20</v>
      </c>
      <c r="P929" s="12">
        <v>5.49</v>
      </c>
      <c r="Q929" s="12" t="s">
        <v>23</v>
      </c>
    </row>
    <row r="930" spans="1:17" x14ac:dyDescent="0.3">
      <c r="A930" s="12" t="s">
        <v>1924</v>
      </c>
      <c r="B930" s="12" t="s">
        <v>1925</v>
      </c>
      <c r="C930" s="12" t="s">
        <v>19</v>
      </c>
      <c r="D930" s="12">
        <v>33</v>
      </c>
      <c r="E930" s="12" t="s">
        <v>65</v>
      </c>
      <c r="F930" s="12" t="s">
        <v>14</v>
      </c>
      <c r="G930" s="12" t="s">
        <v>70</v>
      </c>
      <c r="H930" s="12" t="s">
        <v>77</v>
      </c>
      <c r="I930" s="12">
        <v>9</v>
      </c>
      <c r="J930" s="12">
        <v>93312</v>
      </c>
      <c r="K930" s="12">
        <v>94.22</v>
      </c>
      <c r="L930" s="12">
        <v>1</v>
      </c>
      <c r="M930" s="12">
        <v>27</v>
      </c>
      <c r="N930" s="12">
        <v>81</v>
      </c>
      <c r="O930" s="12" t="s">
        <v>21</v>
      </c>
      <c r="P930" s="12">
        <v>6.34</v>
      </c>
      <c r="Q930" s="12" t="s">
        <v>23</v>
      </c>
    </row>
    <row r="931" spans="1:17" x14ac:dyDescent="0.3">
      <c r="A931" s="12" t="s">
        <v>1926</v>
      </c>
      <c r="B931" s="12" t="s">
        <v>1927</v>
      </c>
      <c r="C931" s="12" t="s">
        <v>19</v>
      </c>
      <c r="D931" s="12">
        <v>31</v>
      </c>
      <c r="E931" s="12" t="s">
        <v>91</v>
      </c>
      <c r="F931" s="12" t="s">
        <v>16</v>
      </c>
      <c r="G931" s="12" t="s">
        <v>181</v>
      </c>
      <c r="H931" s="12" t="s">
        <v>57</v>
      </c>
      <c r="I931" s="12">
        <v>5</v>
      </c>
      <c r="J931" s="12">
        <v>75964</v>
      </c>
      <c r="K931" s="12">
        <v>99.81</v>
      </c>
      <c r="L931" s="12">
        <v>6</v>
      </c>
      <c r="M931" s="12">
        <v>24</v>
      </c>
      <c r="N931" s="12">
        <v>90</v>
      </c>
      <c r="O931" s="12" t="s">
        <v>21</v>
      </c>
      <c r="P931" s="12">
        <v>7.53</v>
      </c>
      <c r="Q931" s="12" t="s">
        <v>23</v>
      </c>
    </row>
    <row r="932" spans="1:17" x14ac:dyDescent="0.3">
      <c r="A932" s="12" t="s">
        <v>1928</v>
      </c>
      <c r="B932" s="12" t="s">
        <v>1929</v>
      </c>
      <c r="C932" s="12" t="s">
        <v>19</v>
      </c>
      <c r="D932" s="12">
        <v>36</v>
      </c>
      <c r="E932" s="12" t="s">
        <v>65</v>
      </c>
      <c r="F932" s="12" t="s">
        <v>14</v>
      </c>
      <c r="G932" s="12" t="s">
        <v>110</v>
      </c>
      <c r="H932" s="12" t="s">
        <v>77</v>
      </c>
      <c r="I932" s="12">
        <v>7</v>
      </c>
      <c r="J932" s="12">
        <v>93556</v>
      </c>
      <c r="K932" s="12">
        <v>82.04</v>
      </c>
      <c r="L932" s="12">
        <v>7</v>
      </c>
      <c r="M932" s="12">
        <v>37</v>
      </c>
      <c r="N932" s="12">
        <v>24</v>
      </c>
      <c r="O932" s="12" t="s">
        <v>20</v>
      </c>
      <c r="P932" s="12">
        <v>5.38</v>
      </c>
      <c r="Q932" s="12" t="s">
        <v>23</v>
      </c>
    </row>
    <row r="933" spans="1:17" x14ac:dyDescent="0.3">
      <c r="A933" s="12" t="s">
        <v>1930</v>
      </c>
      <c r="B933" s="12" t="s">
        <v>1931</v>
      </c>
      <c r="C933" s="12" t="s">
        <v>18</v>
      </c>
      <c r="D933" s="12">
        <v>36</v>
      </c>
      <c r="E933" s="12" t="s">
        <v>69</v>
      </c>
      <c r="F933" s="12" t="s">
        <v>14</v>
      </c>
      <c r="G933" s="12" t="s">
        <v>248</v>
      </c>
      <c r="H933" s="12" t="s">
        <v>77</v>
      </c>
      <c r="I933" s="12">
        <v>6</v>
      </c>
      <c r="J933" s="12">
        <v>84360</v>
      </c>
      <c r="K933" s="12">
        <v>74.06</v>
      </c>
      <c r="L933" s="12">
        <v>1</v>
      </c>
      <c r="M933" s="12">
        <v>0</v>
      </c>
      <c r="N933" s="12">
        <v>17</v>
      </c>
      <c r="O933" s="12" t="s">
        <v>20</v>
      </c>
      <c r="P933" s="12">
        <v>5.23</v>
      </c>
      <c r="Q933" s="12" t="s">
        <v>23</v>
      </c>
    </row>
    <row r="934" spans="1:17" x14ac:dyDescent="0.3">
      <c r="A934" s="12" t="s">
        <v>1932</v>
      </c>
      <c r="B934" s="12" t="s">
        <v>1933</v>
      </c>
      <c r="C934" s="12" t="s">
        <v>18</v>
      </c>
      <c r="D934" s="12">
        <v>33</v>
      </c>
      <c r="E934" s="12" t="s">
        <v>80</v>
      </c>
      <c r="F934" s="12" t="s">
        <v>13</v>
      </c>
      <c r="G934" s="12" t="s">
        <v>56</v>
      </c>
      <c r="H934" s="12" t="s">
        <v>77</v>
      </c>
      <c r="I934" s="12">
        <v>7</v>
      </c>
      <c r="J934" s="12">
        <v>95834</v>
      </c>
      <c r="K934" s="12">
        <v>74.290000000000006</v>
      </c>
      <c r="L934" s="12">
        <v>12</v>
      </c>
      <c r="M934" s="12">
        <v>0</v>
      </c>
      <c r="N934" s="12">
        <v>64</v>
      </c>
      <c r="O934" s="12" t="s">
        <v>22</v>
      </c>
      <c r="P934" s="12">
        <v>7.73</v>
      </c>
      <c r="Q934" s="12" t="s">
        <v>23</v>
      </c>
    </row>
    <row r="935" spans="1:17" x14ac:dyDescent="0.3">
      <c r="A935" s="12" t="s">
        <v>1934</v>
      </c>
      <c r="B935" s="12" t="s">
        <v>1935</v>
      </c>
      <c r="C935" s="12" t="s">
        <v>18</v>
      </c>
      <c r="D935" s="12">
        <v>31</v>
      </c>
      <c r="E935" s="12" t="s">
        <v>80</v>
      </c>
      <c r="F935" s="12" t="s">
        <v>13</v>
      </c>
      <c r="G935" s="12" t="s">
        <v>107</v>
      </c>
      <c r="H935" s="12" t="s">
        <v>86</v>
      </c>
      <c r="I935" s="12">
        <v>6</v>
      </c>
      <c r="J935" s="12">
        <v>83010</v>
      </c>
      <c r="K935" s="12">
        <v>88.02</v>
      </c>
      <c r="L935" s="12">
        <v>4</v>
      </c>
      <c r="M935" s="12">
        <v>52</v>
      </c>
      <c r="N935" s="12">
        <v>34</v>
      </c>
      <c r="O935" s="12" t="s">
        <v>20</v>
      </c>
      <c r="P935" s="12">
        <v>5.74</v>
      </c>
      <c r="Q935" s="12" t="s">
        <v>23</v>
      </c>
    </row>
    <row r="936" spans="1:17" x14ac:dyDescent="0.3">
      <c r="A936" s="12" t="s">
        <v>1936</v>
      </c>
      <c r="B936" s="12" t="s">
        <v>1937</v>
      </c>
      <c r="C936" s="12" t="s">
        <v>19</v>
      </c>
      <c r="D936" s="12">
        <v>40</v>
      </c>
      <c r="E936" s="12" t="s">
        <v>80</v>
      </c>
      <c r="F936" s="12" t="s">
        <v>12</v>
      </c>
      <c r="G936" s="12" t="s">
        <v>152</v>
      </c>
      <c r="H936" s="12" t="s">
        <v>86</v>
      </c>
      <c r="I936" s="12">
        <v>15</v>
      </c>
      <c r="J936" s="12">
        <v>88451</v>
      </c>
      <c r="K936" s="12">
        <v>84.09</v>
      </c>
      <c r="L936" s="12">
        <v>4</v>
      </c>
      <c r="M936" s="12">
        <v>28</v>
      </c>
      <c r="N936" s="12">
        <v>24</v>
      </c>
      <c r="O936" s="12" t="s">
        <v>20</v>
      </c>
      <c r="P936" s="12">
        <v>5.14</v>
      </c>
      <c r="Q936" s="12" t="s">
        <v>23</v>
      </c>
    </row>
    <row r="937" spans="1:17" x14ac:dyDescent="0.3">
      <c r="A937" s="12" t="s">
        <v>1938</v>
      </c>
      <c r="B937" s="12" t="s">
        <v>1939</v>
      </c>
      <c r="C937" s="12" t="s">
        <v>19</v>
      </c>
      <c r="D937" s="12">
        <v>56</v>
      </c>
      <c r="E937" s="12" t="s">
        <v>60</v>
      </c>
      <c r="F937" s="12" t="s">
        <v>16</v>
      </c>
      <c r="G937" s="12" t="s">
        <v>76</v>
      </c>
      <c r="H937" s="12" t="s">
        <v>57</v>
      </c>
      <c r="I937" s="12">
        <v>13</v>
      </c>
      <c r="J937" s="12">
        <v>100123</v>
      </c>
      <c r="K937" s="12">
        <v>81.44</v>
      </c>
      <c r="L937" s="12">
        <v>13</v>
      </c>
      <c r="M937" s="12">
        <v>7</v>
      </c>
      <c r="N937" s="12">
        <v>103</v>
      </c>
      <c r="O937" s="12" t="s">
        <v>21</v>
      </c>
      <c r="P937" s="12">
        <v>9.69</v>
      </c>
      <c r="Q937" s="12" t="s">
        <v>24</v>
      </c>
    </row>
    <row r="938" spans="1:17" x14ac:dyDescent="0.3">
      <c r="A938" s="12" t="s">
        <v>1940</v>
      </c>
      <c r="B938" s="12" t="s">
        <v>1941</v>
      </c>
      <c r="C938" s="12" t="s">
        <v>19</v>
      </c>
      <c r="D938" s="12">
        <v>47</v>
      </c>
      <c r="E938" s="12" t="s">
        <v>55</v>
      </c>
      <c r="F938" s="12" t="s">
        <v>14</v>
      </c>
      <c r="G938" s="12" t="s">
        <v>248</v>
      </c>
      <c r="H938" s="12" t="s">
        <v>62</v>
      </c>
      <c r="I938" s="12">
        <v>12</v>
      </c>
      <c r="J938" s="12">
        <v>167436</v>
      </c>
      <c r="K938" s="12">
        <v>82.16</v>
      </c>
      <c r="L938" s="12">
        <v>11</v>
      </c>
      <c r="M938" s="12">
        <v>16</v>
      </c>
      <c r="N938" s="12">
        <v>79</v>
      </c>
      <c r="O938" s="12" t="s">
        <v>20</v>
      </c>
      <c r="P938" s="12">
        <v>8.74</v>
      </c>
      <c r="Q938" s="12" t="s">
        <v>24</v>
      </c>
    </row>
    <row r="939" spans="1:17" x14ac:dyDescent="0.3">
      <c r="A939" s="12" t="s">
        <v>1942</v>
      </c>
      <c r="B939" s="12" t="s">
        <v>1943</v>
      </c>
      <c r="C939" s="12" t="s">
        <v>18</v>
      </c>
      <c r="D939" s="12">
        <v>26</v>
      </c>
      <c r="E939" s="12" t="s">
        <v>91</v>
      </c>
      <c r="F939" s="12" t="s">
        <v>12</v>
      </c>
      <c r="G939" s="12" t="s">
        <v>152</v>
      </c>
      <c r="H939" s="12" t="s">
        <v>62</v>
      </c>
      <c r="I939" s="12">
        <v>1</v>
      </c>
      <c r="J939" s="12">
        <v>143790</v>
      </c>
      <c r="K939" s="12">
        <v>72.19</v>
      </c>
      <c r="L939" s="12">
        <v>16</v>
      </c>
      <c r="M939" s="12">
        <v>3</v>
      </c>
      <c r="N939" s="12">
        <v>82</v>
      </c>
      <c r="O939" s="12" t="s">
        <v>21</v>
      </c>
      <c r="P939" s="12">
        <v>8.76</v>
      </c>
      <c r="Q939" s="12" t="s">
        <v>23</v>
      </c>
    </row>
    <row r="940" spans="1:17" x14ac:dyDescent="0.3">
      <c r="A940" s="12" t="s">
        <v>1944</v>
      </c>
      <c r="B940" s="12" t="s">
        <v>1945</v>
      </c>
      <c r="C940" s="12" t="s">
        <v>19</v>
      </c>
      <c r="D940" s="12">
        <v>27</v>
      </c>
      <c r="E940" s="12" t="s">
        <v>65</v>
      </c>
      <c r="F940" s="12" t="s">
        <v>15</v>
      </c>
      <c r="G940" s="12" t="s">
        <v>61</v>
      </c>
      <c r="H940" s="12" t="s">
        <v>57</v>
      </c>
      <c r="I940" s="12">
        <v>1</v>
      </c>
      <c r="J940" s="12">
        <v>124926</v>
      </c>
      <c r="K940" s="12">
        <v>76.09</v>
      </c>
      <c r="L940" s="12">
        <v>6</v>
      </c>
      <c r="M940" s="12">
        <v>18</v>
      </c>
      <c r="N940" s="12">
        <v>92</v>
      </c>
      <c r="O940" s="12" t="s">
        <v>22</v>
      </c>
      <c r="P940" s="12">
        <v>5.95</v>
      </c>
      <c r="Q940" s="12" t="s">
        <v>23</v>
      </c>
    </row>
    <row r="941" spans="1:17" x14ac:dyDescent="0.3">
      <c r="A941" s="12" t="s">
        <v>1946</v>
      </c>
      <c r="B941" s="12" t="s">
        <v>1947</v>
      </c>
      <c r="C941" s="12" t="s">
        <v>18</v>
      </c>
      <c r="D941" s="12">
        <v>30</v>
      </c>
      <c r="E941" s="12" t="s">
        <v>55</v>
      </c>
      <c r="F941" s="12" t="s">
        <v>14</v>
      </c>
      <c r="G941" s="12" t="s">
        <v>110</v>
      </c>
      <c r="H941" s="12" t="s">
        <v>57</v>
      </c>
      <c r="I941" s="12">
        <v>4</v>
      </c>
      <c r="J941" s="12">
        <v>60576</v>
      </c>
      <c r="K941" s="12">
        <v>98.98</v>
      </c>
      <c r="L941" s="12">
        <v>3</v>
      </c>
      <c r="M941" s="12">
        <v>23</v>
      </c>
      <c r="N941" s="12">
        <v>15</v>
      </c>
      <c r="O941" s="12" t="s">
        <v>20</v>
      </c>
      <c r="P941" s="12">
        <v>6.62</v>
      </c>
      <c r="Q941" s="12" t="s">
        <v>23</v>
      </c>
    </row>
    <row r="942" spans="1:17" x14ac:dyDescent="0.3">
      <c r="A942" s="12" t="s">
        <v>1948</v>
      </c>
      <c r="B942" s="12" t="s">
        <v>1949</v>
      </c>
      <c r="C942" s="12" t="s">
        <v>18</v>
      </c>
      <c r="D942" s="12">
        <v>55</v>
      </c>
      <c r="E942" s="12" t="s">
        <v>69</v>
      </c>
      <c r="F942" s="12" t="s">
        <v>13</v>
      </c>
      <c r="G942" s="12" t="s">
        <v>107</v>
      </c>
      <c r="H942" s="12" t="s">
        <v>62</v>
      </c>
      <c r="I942" s="12">
        <v>14</v>
      </c>
      <c r="J942" s="12">
        <v>48074</v>
      </c>
      <c r="K942" s="12">
        <v>87.64</v>
      </c>
      <c r="L942" s="12">
        <v>8</v>
      </c>
      <c r="M942" s="12">
        <v>22</v>
      </c>
      <c r="N942" s="12">
        <v>19</v>
      </c>
      <c r="O942" s="12" t="s">
        <v>22</v>
      </c>
      <c r="P942" s="12">
        <v>6.78</v>
      </c>
      <c r="Q942" s="12" t="s">
        <v>23</v>
      </c>
    </row>
    <row r="943" spans="1:17" x14ac:dyDescent="0.3">
      <c r="A943" s="12" t="s">
        <v>1950</v>
      </c>
      <c r="B943" s="12" t="s">
        <v>1951</v>
      </c>
      <c r="C943" s="12" t="s">
        <v>18</v>
      </c>
      <c r="D943" s="12">
        <v>29</v>
      </c>
      <c r="E943" s="12" t="s">
        <v>55</v>
      </c>
      <c r="F943" s="12" t="s">
        <v>12</v>
      </c>
      <c r="G943" s="12" t="s">
        <v>119</v>
      </c>
      <c r="H943" s="12" t="s">
        <v>57</v>
      </c>
      <c r="I943" s="12">
        <v>1</v>
      </c>
      <c r="J943" s="12">
        <v>140581</v>
      </c>
      <c r="K943" s="12">
        <v>76.3</v>
      </c>
      <c r="L943" s="12">
        <v>3</v>
      </c>
      <c r="M943" s="12">
        <v>32</v>
      </c>
      <c r="N943" s="12">
        <v>32</v>
      </c>
      <c r="O943" s="12" t="s">
        <v>21</v>
      </c>
      <c r="P943" s="12">
        <v>4.8499999999999996</v>
      </c>
      <c r="Q943" s="12" t="s">
        <v>23</v>
      </c>
    </row>
    <row r="944" spans="1:17" x14ac:dyDescent="0.3">
      <c r="A944" s="12" t="s">
        <v>1952</v>
      </c>
      <c r="B944" s="12" t="s">
        <v>1953</v>
      </c>
      <c r="C944" s="12" t="s">
        <v>18</v>
      </c>
      <c r="D944" s="12">
        <v>39</v>
      </c>
      <c r="E944" s="12" t="s">
        <v>69</v>
      </c>
      <c r="F944" s="12" t="s">
        <v>16</v>
      </c>
      <c r="G944" s="12" t="s">
        <v>271</v>
      </c>
      <c r="H944" s="12" t="s">
        <v>86</v>
      </c>
      <c r="I944" s="12">
        <v>3</v>
      </c>
      <c r="J944" s="12">
        <v>60265</v>
      </c>
      <c r="K944" s="12">
        <v>94.59</v>
      </c>
      <c r="L944" s="12">
        <v>15</v>
      </c>
      <c r="M944" s="12">
        <v>3</v>
      </c>
      <c r="N944" s="12">
        <v>114</v>
      </c>
      <c r="O944" s="12" t="s">
        <v>22</v>
      </c>
      <c r="P944" s="12">
        <v>8.6300000000000008</v>
      </c>
      <c r="Q944" s="12" t="s">
        <v>24</v>
      </c>
    </row>
    <row r="945" spans="1:17" x14ac:dyDescent="0.3">
      <c r="A945" s="12" t="s">
        <v>1954</v>
      </c>
      <c r="B945" s="12" t="s">
        <v>1955</v>
      </c>
      <c r="C945" s="12" t="s">
        <v>19</v>
      </c>
      <c r="D945" s="12">
        <v>34</v>
      </c>
      <c r="E945" s="12" t="s">
        <v>55</v>
      </c>
      <c r="F945" s="12" t="s">
        <v>12</v>
      </c>
      <c r="G945" s="12" t="s">
        <v>92</v>
      </c>
      <c r="H945" s="12" t="s">
        <v>57</v>
      </c>
      <c r="I945" s="12">
        <v>6</v>
      </c>
      <c r="J945" s="12">
        <v>73058</v>
      </c>
      <c r="K945" s="12">
        <v>76.459999999999994</v>
      </c>
      <c r="L945" s="12">
        <v>16</v>
      </c>
      <c r="M945" s="12">
        <v>39</v>
      </c>
      <c r="N945" s="12">
        <v>64</v>
      </c>
      <c r="O945" s="12" t="s">
        <v>20</v>
      </c>
      <c r="P945" s="12">
        <v>7.75</v>
      </c>
      <c r="Q945" s="12" t="s">
        <v>23</v>
      </c>
    </row>
    <row r="946" spans="1:17" x14ac:dyDescent="0.3">
      <c r="A946" s="12" t="s">
        <v>1956</v>
      </c>
      <c r="B946" s="12" t="s">
        <v>1957</v>
      </c>
      <c r="C946" s="12" t="s">
        <v>19</v>
      </c>
      <c r="D946" s="12">
        <v>51</v>
      </c>
      <c r="E946" s="12" t="s">
        <v>55</v>
      </c>
      <c r="F946" s="12" t="s">
        <v>15</v>
      </c>
      <c r="G946" s="12" t="s">
        <v>61</v>
      </c>
      <c r="H946" s="12" t="s">
        <v>86</v>
      </c>
      <c r="I946" s="12">
        <v>19</v>
      </c>
      <c r="J946" s="12">
        <v>120085</v>
      </c>
      <c r="K946" s="12">
        <v>72.540000000000006</v>
      </c>
      <c r="L946" s="12">
        <v>7</v>
      </c>
      <c r="M946" s="12">
        <v>25</v>
      </c>
      <c r="N946" s="12">
        <v>33</v>
      </c>
      <c r="O946" s="12" t="s">
        <v>22</v>
      </c>
      <c r="P946" s="12">
        <v>5.83</v>
      </c>
      <c r="Q946" s="12" t="s">
        <v>23</v>
      </c>
    </row>
    <row r="947" spans="1:17" x14ac:dyDescent="0.3">
      <c r="A947" s="12" t="s">
        <v>1958</v>
      </c>
      <c r="B947" s="12" t="s">
        <v>1959</v>
      </c>
      <c r="C947" s="12" t="s">
        <v>19</v>
      </c>
      <c r="D947" s="12">
        <v>33</v>
      </c>
      <c r="E947" s="12" t="s">
        <v>55</v>
      </c>
      <c r="F947" s="12" t="s">
        <v>14</v>
      </c>
      <c r="G947" s="12" t="s">
        <v>248</v>
      </c>
      <c r="H947" s="12" t="s">
        <v>77</v>
      </c>
      <c r="I947" s="12">
        <v>6</v>
      </c>
      <c r="J947" s="12">
        <v>74732</v>
      </c>
      <c r="K947" s="12">
        <v>88.44</v>
      </c>
      <c r="L947" s="12">
        <v>6</v>
      </c>
      <c r="M947" s="12">
        <v>21</v>
      </c>
      <c r="N947" s="12">
        <v>5</v>
      </c>
      <c r="O947" s="12" t="s">
        <v>21</v>
      </c>
      <c r="P947" s="12">
        <v>6.3</v>
      </c>
      <c r="Q947" s="12" t="s">
        <v>23</v>
      </c>
    </row>
    <row r="948" spans="1:17" x14ac:dyDescent="0.3">
      <c r="A948" s="12" t="s">
        <v>1960</v>
      </c>
      <c r="B948" s="12" t="s">
        <v>1961</v>
      </c>
      <c r="C948" s="12" t="s">
        <v>19</v>
      </c>
      <c r="D948" s="12">
        <v>36</v>
      </c>
      <c r="E948" s="12" t="s">
        <v>91</v>
      </c>
      <c r="F948" s="12" t="s">
        <v>17</v>
      </c>
      <c r="G948" s="12" t="s">
        <v>102</v>
      </c>
      <c r="H948" s="12" t="s">
        <v>77</v>
      </c>
      <c r="I948" s="12">
        <v>12</v>
      </c>
      <c r="J948" s="12">
        <v>128815</v>
      </c>
      <c r="K948" s="12">
        <v>78.73</v>
      </c>
      <c r="L948" s="12">
        <v>19</v>
      </c>
      <c r="M948" s="12">
        <v>52</v>
      </c>
      <c r="N948" s="12">
        <v>53</v>
      </c>
      <c r="O948" s="12" t="s">
        <v>22</v>
      </c>
      <c r="P948" s="12">
        <v>7.15</v>
      </c>
      <c r="Q948" s="12" t="s">
        <v>23</v>
      </c>
    </row>
    <row r="949" spans="1:17" x14ac:dyDescent="0.3">
      <c r="A949" s="12" t="s">
        <v>1962</v>
      </c>
      <c r="B949" s="12" t="s">
        <v>1963</v>
      </c>
      <c r="C949" s="12" t="s">
        <v>19</v>
      </c>
      <c r="D949" s="12">
        <v>46</v>
      </c>
      <c r="E949" s="12" t="s">
        <v>91</v>
      </c>
      <c r="F949" s="12" t="s">
        <v>12</v>
      </c>
      <c r="G949" s="12" t="s">
        <v>92</v>
      </c>
      <c r="H949" s="12" t="s">
        <v>62</v>
      </c>
      <c r="I949" s="12">
        <v>15</v>
      </c>
      <c r="J949" s="12">
        <v>130257</v>
      </c>
      <c r="K949" s="12">
        <v>67.16</v>
      </c>
      <c r="L949" s="12">
        <v>16</v>
      </c>
      <c r="M949" s="12">
        <v>19</v>
      </c>
      <c r="N949" s="12">
        <v>60</v>
      </c>
      <c r="O949" s="12" t="s">
        <v>22</v>
      </c>
      <c r="P949" s="12">
        <v>7.09</v>
      </c>
      <c r="Q949" s="12" t="s">
        <v>23</v>
      </c>
    </row>
    <row r="950" spans="1:17" x14ac:dyDescent="0.3">
      <c r="A950" s="12" t="s">
        <v>1964</v>
      </c>
      <c r="B950" s="12" t="s">
        <v>1965</v>
      </c>
      <c r="C950" s="12" t="s">
        <v>19</v>
      </c>
      <c r="D950" s="12">
        <v>48</v>
      </c>
      <c r="E950" s="12" t="s">
        <v>55</v>
      </c>
      <c r="F950" s="12" t="s">
        <v>13</v>
      </c>
      <c r="G950" s="12" t="s">
        <v>56</v>
      </c>
      <c r="H950" s="12" t="s">
        <v>86</v>
      </c>
      <c r="I950" s="12">
        <v>17</v>
      </c>
      <c r="J950" s="12">
        <v>66063</v>
      </c>
      <c r="K950" s="12">
        <v>93.21</v>
      </c>
      <c r="L950" s="12">
        <v>10</v>
      </c>
      <c r="M950" s="12">
        <v>32</v>
      </c>
      <c r="N950" s="12">
        <v>80</v>
      </c>
      <c r="O950" s="12" t="s">
        <v>21</v>
      </c>
      <c r="P950" s="12">
        <v>8.75</v>
      </c>
      <c r="Q950" s="12" t="s">
        <v>24</v>
      </c>
    </row>
    <row r="951" spans="1:17" x14ac:dyDescent="0.3">
      <c r="A951" s="12" t="s">
        <v>1966</v>
      </c>
      <c r="B951" s="12" t="s">
        <v>1967</v>
      </c>
      <c r="C951" s="12" t="s">
        <v>18</v>
      </c>
      <c r="D951" s="12">
        <v>49</v>
      </c>
      <c r="E951" s="12" t="s">
        <v>91</v>
      </c>
      <c r="F951" s="12" t="s">
        <v>16</v>
      </c>
      <c r="G951" s="12" t="s">
        <v>271</v>
      </c>
      <c r="H951" s="12" t="s">
        <v>86</v>
      </c>
      <c r="I951" s="12">
        <v>3</v>
      </c>
      <c r="J951" s="12">
        <v>112529</v>
      </c>
      <c r="K951" s="12">
        <v>69.400000000000006</v>
      </c>
      <c r="L951" s="12">
        <v>2</v>
      </c>
      <c r="M951" s="12">
        <v>6</v>
      </c>
      <c r="N951" s="12">
        <v>93</v>
      </c>
      <c r="O951" s="12" t="s">
        <v>20</v>
      </c>
      <c r="P951" s="12">
        <v>5.56</v>
      </c>
      <c r="Q951" s="12" t="s">
        <v>23</v>
      </c>
    </row>
    <row r="952" spans="1:17" x14ac:dyDescent="0.3">
      <c r="A952" s="12" t="s">
        <v>1968</v>
      </c>
      <c r="B952" s="12" t="s">
        <v>1969</v>
      </c>
      <c r="C952" s="12" t="s">
        <v>18</v>
      </c>
      <c r="D952" s="12">
        <v>57</v>
      </c>
      <c r="E952" s="12" t="s">
        <v>69</v>
      </c>
      <c r="F952" s="12" t="s">
        <v>16</v>
      </c>
      <c r="G952" s="12" t="s">
        <v>271</v>
      </c>
      <c r="H952" s="12" t="s">
        <v>57</v>
      </c>
      <c r="I952" s="12">
        <v>8</v>
      </c>
      <c r="J952" s="12">
        <v>84198</v>
      </c>
      <c r="K952" s="12">
        <v>97.72</v>
      </c>
      <c r="L952" s="12">
        <v>17</v>
      </c>
      <c r="M952" s="12">
        <v>23</v>
      </c>
      <c r="N952" s="12">
        <v>51</v>
      </c>
      <c r="O952" s="12" t="s">
        <v>21</v>
      </c>
      <c r="P952" s="12">
        <v>8.92</v>
      </c>
      <c r="Q952" s="12" t="s">
        <v>24</v>
      </c>
    </row>
    <row r="953" spans="1:17" x14ac:dyDescent="0.3">
      <c r="A953" s="12" t="s">
        <v>1970</v>
      </c>
      <c r="B953" s="12" t="s">
        <v>1971</v>
      </c>
      <c r="C953" s="12" t="s">
        <v>18</v>
      </c>
      <c r="D953" s="12">
        <v>58</v>
      </c>
      <c r="E953" s="12" t="s">
        <v>60</v>
      </c>
      <c r="F953" s="12" t="s">
        <v>15</v>
      </c>
      <c r="G953" s="12" t="s">
        <v>61</v>
      </c>
      <c r="H953" s="12" t="s">
        <v>86</v>
      </c>
      <c r="I953" s="12">
        <v>0</v>
      </c>
      <c r="J953" s="12">
        <v>108248</v>
      </c>
      <c r="K953" s="12">
        <v>75.260000000000005</v>
      </c>
      <c r="L953" s="12">
        <v>13</v>
      </c>
      <c r="M953" s="12">
        <v>43</v>
      </c>
      <c r="N953" s="12">
        <v>19</v>
      </c>
      <c r="O953" s="12" t="s">
        <v>20</v>
      </c>
      <c r="P953" s="12">
        <v>5.84</v>
      </c>
      <c r="Q953" s="12" t="s">
        <v>23</v>
      </c>
    </row>
    <row r="954" spans="1:17" x14ac:dyDescent="0.3">
      <c r="A954" s="12" t="s">
        <v>1972</v>
      </c>
      <c r="B954" s="12" t="s">
        <v>1973</v>
      </c>
      <c r="C954" s="12" t="s">
        <v>19</v>
      </c>
      <c r="D954" s="12">
        <v>47</v>
      </c>
      <c r="E954" s="12" t="s">
        <v>65</v>
      </c>
      <c r="F954" s="12" t="s">
        <v>14</v>
      </c>
      <c r="G954" s="12" t="s">
        <v>110</v>
      </c>
      <c r="H954" s="12" t="s">
        <v>62</v>
      </c>
      <c r="I954" s="12">
        <v>19</v>
      </c>
      <c r="J954" s="12">
        <v>124792</v>
      </c>
      <c r="K954" s="12">
        <v>75.180000000000007</v>
      </c>
      <c r="L954" s="12">
        <v>8</v>
      </c>
      <c r="M954" s="12">
        <v>15</v>
      </c>
      <c r="N954" s="12">
        <v>113</v>
      </c>
      <c r="O954" s="12" t="s">
        <v>21</v>
      </c>
      <c r="P954" s="12">
        <v>8.92</v>
      </c>
      <c r="Q954" s="12" t="s">
        <v>24</v>
      </c>
    </row>
    <row r="955" spans="1:17" x14ac:dyDescent="0.3">
      <c r="A955" s="12" t="s">
        <v>1974</v>
      </c>
      <c r="B955" s="12" t="s">
        <v>1975</v>
      </c>
      <c r="C955" s="12" t="s">
        <v>18</v>
      </c>
      <c r="D955" s="12">
        <v>27</v>
      </c>
      <c r="E955" s="12" t="s">
        <v>91</v>
      </c>
      <c r="F955" s="12" t="s">
        <v>14</v>
      </c>
      <c r="G955" s="12" t="s">
        <v>85</v>
      </c>
      <c r="H955" s="12" t="s">
        <v>86</v>
      </c>
      <c r="I955" s="12">
        <v>5</v>
      </c>
      <c r="J955" s="12">
        <v>128974</v>
      </c>
      <c r="K955" s="12">
        <v>97.3</v>
      </c>
      <c r="L955" s="12">
        <v>18</v>
      </c>
      <c r="M955" s="12">
        <v>10</v>
      </c>
      <c r="N955" s="12">
        <v>93</v>
      </c>
      <c r="O955" s="12" t="s">
        <v>20</v>
      </c>
      <c r="P955" s="12">
        <v>9.5500000000000007</v>
      </c>
      <c r="Q955" s="12" t="s">
        <v>24</v>
      </c>
    </row>
    <row r="956" spans="1:17" x14ac:dyDescent="0.3">
      <c r="A956" s="12" t="s">
        <v>1976</v>
      </c>
      <c r="B956" s="12" t="s">
        <v>1977</v>
      </c>
      <c r="C956" s="12" t="s">
        <v>18</v>
      </c>
      <c r="D956" s="12">
        <v>30</v>
      </c>
      <c r="E956" s="12" t="s">
        <v>60</v>
      </c>
      <c r="F956" s="12" t="s">
        <v>15</v>
      </c>
      <c r="G956" s="12" t="s">
        <v>61</v>
      </c>
      <c r="H956" s="12" t="s">
        <v>57</v>
      </c>
      <c r="I956" s="12">
        <v>7</v>
      </c>
      <c r="J956" s="12">
        <v>98580</v>
      </c>
      <c r="K956" s="12">
        <v>88.99</v>
      </c>
      <c r="L956" s="12">
        <v>8</v>
      </c>
      <c r="M956" s="12">
        <v>10</v>
      </c>
      <c r="N956" s="12">
        <v>64</v>
      </c>
      <c r="O956" s="12" t="s">
        <v>20</v>
      </c>
      <c r="P956" s="12">
        <v>7.97</v>
      </c>
      <c r="Q956" s="12" t="s">
        <v>23</v>
      </c>
    </row>
    <row r="957" spans="1:17" x14ac:dyDescent="0.3">
      <c r="A957" s="12" t="s">
        <v>1978</v>
      </c>
      <c r="B957" s="12" t="s">
        <v>1979</v>
      </c>
      <c r="C957" s="12" t="s">
        <v>19</v>
      </c>
      <c r="D957" s="12">
        <v>45</v>
      </c>
      <c r="E957" s="12" t="s">
        <v>80</v>
      </c>
      <c r="F957" s="12" t="s">
        <v>12</v>
      </c>
      <c r="G957" s="12" t="s">
        <v>92</v>
      </c>
      <c r="H957" s="12" t="s">
        <v>77</v>
      </c>
      <c r="I957" s="12">
        <v>8</v>
      </c>
      <c r="J957" s="12">
        <v>83239</v>
      </c>
      <c r="K957" s="12">
        <v>83.45</v>
      </c>
      <c r="L957" s="12">
        <v>2</v>
      </c>
      <c r="M957" s="12">
        <v>17</v>
      </c>
      <c r="N957" s="12">
        <v>109</v>
      </c>
      <c r="O957" s="12" t="s">
        <v>20</v>
      </c>
      <c r="P957" s="12">
        <v>6.93</v>
      </c>
      <c r="Q957" s="12" t="s">
        <v>23</v>
      </c>
    </row>
    <row r="958" spans="1:17" x14ac:dyDescent="0.3">
      <c r="A958" s="12" t="s">
        <v>1980</v>
      </c>
      <c r="B958" s="12" t="s">
        <v>1981</v>
      </c>
      <c r="C958" s="12" t="s">
        <v>18</v>
      </c>
      <c r="D958" s="12">
        <v>26</v>
      </c>
      <c r="E958" s="12" t="s">
        <v>65</v>
      </c>
      <c r="F958" s="12" t="s">
        <v>17</v>
      </c>
      <c r="G958" s="12" t="s">
        <v>135</v>
      </c>
      <c r="H958" s="12" t="s">
        <v>77</v>
      </c>
      <c r="I958" s="12">
        <v>5</v>
      </c>
      <c r="J958" s="12">
        <v>63907</v>
      </c>
      <c r="K958" s="12">
        <v>80.62</v>
      </c>
      <c r="L958" s="12">
        <v>11</v>
      </c>
      <c r="M958" s="12">
        <v>13</v>
      </c>
      <c r="N958" s="12">
        <v>99</v>
      </c>
      <c r="O958" s="12" t="s">
        <v>21</v>
      </c>
      <c r="P958" s="12">
        <v>8.7200000000000006</v>
      </c>
      <c r="Q958" s="12" t="s">
        <v>24</v>
      </c>
    </row>
    <row r="959" spans="1:17" x14ac:dyDescent="0.3">
      <c r="A959" s="12" t="s">
        <v>1982</v>
      </c>
      <c r="B959" s="12" t="s">
        <v>1983</v>
      </c>
      <c r="C959" s="12" t="s">
        <v>19</v>
      </c>
      <c r="D959" s="12">
        <v>46</v>
      </c>
      <c r="E959" s="12" t="s">
        <v>91</v>
      </c>
      <c r="F959" s="12" t="s">
        <v>16</v>
      </c>
      <c r="G959" s="12" t="s">
        <v>76</v>
      </c>
      <c r="H959" s="12" t="s">
        <v>57</v>
      </c>
      <c r="I959" s="12">
        <v>14</v>
      </c>
      <c r="J959" s="12">
        <v>71293</v>
      </c>
      <c r="K959" s="12">
        <v>91.68</v>
      </c>
      <c r="L959" s="12">
        <v>20</v>
      </c>
      <c r="M959" s="12">
        <v>48</v>
      </c>
      <c r="N959" s="12">
        <v>103</v>
      </c>
      <c r="O959" s="12" t="s">
        <v>21</v>
      </c>
      <c r="P959" s="12">
        <v>9.65</v>
      </c>
      <c r="Q959" s="12" t="s">
        <v>24</v>
      </c>
    </row>
    <row r="960" spans="1:17" x14ac:dyDescent="0.3">
      <c r="A960" s="12" t="s">
        <v>1984</v>
      </c>
      <c r="B960" s="12" t="s">
        <v>1985</v>
      </c>
      <c r="C960" s="12" t="s">
        <v>19</v>
      </c>
      <c r="D960" s="12">
        <v>44</v>
      </c>
      <c r="E960" s="12" t="s">
        <v>69</v>
      </c>
      <c r="F960" s="12" t="s">
        <v>13</v>
      </c>
      <c r="G960" s="12" t="s">
        <v>66</v>
      </c>
      <c r="H960" s="12" t="s">
        <v>57</v>
      </c>
      <c r="I960" s="12">
        <v>10</v>
      </c>
      <c r="J960" s="12">
        <v>45356</v>
      </c>
      <c r="K960" s="12">
        <v>82.83</v>
      </c>
      <c r="L960" s="12">
        <v>1</v>
      </c>
      <c r="M960" s="12">
        <v>27</v>
      </c>
      <c r="N960" s="12">
        <v>61</v>
      </c>
      <c r="O960" s="12" t="s">
        <v>20</v>
      </c>
      <c r="P960" s="12">
        <v>5.03</v>
      </c>
      <c r="Q960" s="12" t="s">
        <v>23</v>
      </c>
    </row>
    <row r="961" spans="1:17" x14ac:dyDescent="0.3">
      <c r="A961" s="12" t="s">
        <v>1986</v>
      </c>
      <c r="B961" s="12" t="s">
        <v>1987</v>
      </c>
      <c r="C961" s="12" t="s">
        <v>19</v>
      </c>
      <c r="D961" s="12">
        <v>23</v>
      </c>
      <c r="E961" s="12" t="s">
        <v>60</v>
      </c>
      <c r="F961" s="12" t="s">
        <v>15</v>
      </c>
      <c r="G961" s="12" t="s">
        <v>61</v>
      </c>
      <c r="H961" s="12" t="s">
        <v>86</v>
      </c>
      <c r="I961" s="12">
        <v>2</v>
      </c>
      <c r="J961" s="12">
        <v>37982</v>
      </c>
      <c r="K961" s="12">
        <v>89.61</v>
      </c>
      <c r="L961" s="12">
        <v>4</v>
      </c>
      <c r="M961" s="12">
        <v>16</v>
      </c>
      <c r="N961" s="12">
        <v>80</v>
      </c>
      <c r="O961" s="12" t="s">
        <v>22</v>
      </c>
      <c r="P961" s="12">
        <v>6.85</v>
      </c>
      <c r="Q961" s="12" t="s">
        <v>23</v>
      </c>
    </row>
    <row r="962" spans="1:17" x14ac:dyDescent="0.3">
      <c r="A962" s="12" t="s">
        <v>1988</v>
      </c>
      <c r="B962" s="12" t="s">
        <v>1989</v>
      </c>
      <c r="C962" s="12" t="s">
        <v>18</v>
      </c>
      <c r="D962" s="12">
        <v>31</v>
      </c>
      <c r="E962" s="12" t="s">
        <v>60</v>
      </c>
      <c r="F962" s="12" t="s">
        <v>16</v>
      </c>
      <c r="G962" s="12" t="s">
        <v>271</v>
      </c>
      <c r="H962" s="12" t="s">
        <v>57</v>
      </c>
      <c r="I962" s="12">
        <v>2</v>
      </c>
      <c r="J962" s="12">
        <v>119967</v>
      </c>
      <c r="K962" s="12">
        <v>69.42</v>
      </c>
      <c r="L962" s="12">
        <v>3</v>
      </c>
      <c r="M962" s="12">
        <v>54</v>
      </c>
      <c r="N962" s="12">
        <v>38</v>
      </c>
      <c r="O962" s="12" t="s">
        <v>20</v>
      </c>
      <c r="P962" s="12">
        <v>4.3600000000000003</v>
      </c>
      <c r="Q962" s="12" t="s">
        <v>23</v>
      </c>
    </row>
    <row r="963" spans="1:17" x14ac:dyDescent="0.3">
      <c r="A963" s="12" t="s">
        <v>1990</v>
      </c>
      <c r="B963" s="12" t="s">
        <v>1991</v>
      </c>
      <c r="C963" s="12" t="s">
        <v>19</v>
      </c>
      <c r="D963" s="12">
        <v>42</v>
      </c>
      <c r="E963" s="12" t="s">
        <v>80</v>
      </c>
      <c r="F963" s="12" t="s">
        <v>12</v>
      </c>
      <c r="G963" s="12" t="s">
        <v>152</v>
      </c>
      <c r="H963" s="12" t="s">
        <v>86</v>
      </c>
      <c r="I963" s="12">
        <v>11</v>
      </c>
      <c r="J963" s="12">
        <v>123784</v>
      </c>
      <c r="K963" s="12">
        <v>71.45</v>
      </c>
      <c r="L963" s="12">
        <v>6</v>
      </c>
      <c r="M963" s="12">
        <v>19</v>
      </c>
      <c r="N963" s="12">
        <v>44</v>
      </c>
      <c r="O963" s="12" t="s">
        <v>21</v>
      </c>
      <c r="P963" s="12">
        <v>5.86</v>
      </c>
      <c r="Q963" s="12" t="s">
        <v>23</v>
      </c>
    </row>
    <row r="964" spans="1:17" x14ac:dyDescent="0.3">
      <c r="A964" s="12" t="s">
        <v>1992</v>
      </c>
      <c r="B964" s="12" t="s">
        <v>3</v>
      </c>
      <c r="C964" s="12" t="s">
        <v>19</v>
      </c>
      <c r="D964" s="12">
        <v>54</v>
      </c>
      <c r="E964" s="12" t="s">
        <v>80</v>
      </c>
      <c r="F964" s="12" t="s">
        <v>15</v>
      </c>
      <c r="G964" s="12" t="s">
        <v>130</v>
      </c>
      <c r="H964" s="12" t="s">
        <v>77</v>
      </c>
      <c r="I964" s="12">
        <v>21</v>
      </c>
      <c r="J964" s="12">
        <v>67877</v>
      </c>
      <c r="K964" s="12">
        <v>96.59</v>
      </c>
      <c r="L964" s="12">
        <v>13</v>
      </c>
      <c r="M964" s="12">
        <v>12</v>
      </c>
      <c r="N964" s="12">
        <v>65</v>
      </c>
      <c r="O964" s="12" t="s">
        <v>20</v>
      </c>
      <c r="P964" s="12">
        <v>9.81</v>
      </c>
      <c r="Q964" s="12" t="s">
        <v>24</v>
      </c>
    </row>
    <row r="965" spans="1:17" x14ac:dyDescent="0.3">
      <c r="A965" s="12" t="s">
        <v>1993</v>
      </c>
      <c r="B965" s="12" t="s">
        <v>1994</v>
      </c>
      <c r="C965" s="12" t="s">
        <v>19</v>
      </c>
      <c r="D965" s="12">
        <v>44</v>
      </c>
      <c r="E965" s="12" t="s">
        <v>91</v>
      </c>
      <c r="F965" s="12" t="s">
        <v>13</v>
      </c>
      <c r="G965" s="12" t="s">
        <v>56</v>
      </c>
      <c r="H965" s="12" t="s">
        <v>86</v>
      </c>
      <c r="I965" s="12">
        <v>8</v>
      </c>
      <c r="J965" s="12">
        <v>92775</v>
      </c>
      <c r="K965" s="12">
        <v>77.77</v>
      </c>
      <c r="L965" s="12">
        <v>2</v>
      </c>
      <c r="M965" s="12">
        <v>49</v>
      </c>
      <c r="N965" s="12">
        <v>120</v>
      </c>
      <c r="O965" s="12" t="s">
        <v>21</v>
      </c>
      <c r="P965" s="12">
        <v>7.34</v>
      </c>
      <c r="Q965" s="12" t="s">
        <v>23</v>
      </c>
    </row>
    <row r="966" spans="1:17" x14ac:dyDescent="0.3">
      <c r="A966" s="12" t="s">
        <v>1995</v>
      </c>
      <c r="B966" s="12" t="s">
        <v>1996</v>
      </c>
      <c r="C966" s="12" t="s">
        <v>19</v>
      </c>
      <c r="D966" s="12">
        <v>22</v>
      </c>
      <c r="E966" s="12" t="s">
        <v>55</v>
      </c>
      <c r="F966" s="12" t="s">
        <v>17</v>
      </c>
      <c r="G966" s="12" t="s">
        <v>102</v>
      </c>
      <c r="H966" s="12" t="s">
        <v>77</v>
      </c>
      <c r="I966" s="12">
        <v>0</v>
      </c>
      <c r="J966" s="12">
        <v>136457</v>
      </c>
      <c r="K966" s="12">
        <v>71.349999999999994</v>
      </c>
      <c r="L966" s="12">
        <v>12</v>
      </c>
      <c r="M966" s="12">
        <v>43</v>
      </c>
      <c r="N966" s="12">
        <v>74</v>
      </c>
      <c r="O966" s="12" t="s">
        <v>22</v>
      </c>
      <c r="P966" s="12">
        <v>7.24</v>
      </c>
      <c r="Q966" s="12" t="s">
        <v>23</v>
      </c>
    </row>
    <row r="967" spans="1:17" x14ac:dyDescent="0.3">
      <c r="A967" s="12" t="s">
        <v>1997</v>
      </c>
      <c r="B967" s="12" t="s">
        <v>1998</v>
      </c>
      <c r="C967" s="12" t="s">
        <v>19</v>
      </c>
      <c r="D967" s="12">
        <v>58</v>
      </c>
      <c r="E967" s="12" t="s">
        <v>60</v>
      </c>
      <c r="F967" s="12" t="s">
        <v>14</v>
      </c>
      <c r="G967" s="12" t="s">
        <v>248</v>
      </c>
      <c r="H967" s="12" t="s">
        <v>62</v>
      </c>
      <c r="I967" s="12">
        <v>4</v>
      </c>
      <c r="J967" s="12">
        <v>92592</v>
      </c>
      <c r="K967" s="12">
        <v>84.51</v>
      </c>
      <c r="L967" s="12">
        <v>13</v>
      </c>
      <c r="M967" s="12">
        <v>60</v>
      </c>
      <c r="N967" s="12">
        <v>25</v>
      </c>
      <c r="O967" s="12" t="s">
        <v>22</v>
      </c>
      <c r="P967" s="12">
        <v>6.62</v>
      </c>
      <c r="Q967" s="12" t="s">
        <v>23</v>
      </c>
    </row>
    <row r="968" spans="1:17" x14ac:dyDescent="0.3">
      <c r="A968" s="12" t="s">
        <v>1999</v>
      </c>
      <c r="B968" s="12" t="s">
        <v>2000</v>
      </c>
      <c r="C968" s="12" t="s">
        <v>18</v>
      </c>
      <c r="D968" s="12">
        <v>57</v>
      </c>
      <c r="E968" s="12" t="s">
        <v>55</v>
      </c>
      <c r="F968" s="12" t="s">
        <v>15</v>
      </c>
      <c r="G968" s="12" t="s">
        <v>61</v>
      </c>
      <c r="H968" s="12" t="s">
        <v>57</v>
      </c>
      <c r="I968" s="12">
        <v>19</v>
      </c>
      <c r="J968" s="12">
        <v>52344</v>
      </c>
      <c r="K968" s="12">
        <v>87.1</v>
      </c>
      <c r="L968" s="12">
        <v>11</v>
      </c>
      <c r="M968" s="12">
        <v>32</v>
      </c>
      <c r="N968" s="12">
        <v>57</v>
      </c>
      <c r="O968" s="12" t="s">
        <v>21</v>
      </c>
      <c r="P968" s="12">
        <v>8.4600000000000009</v>
      </c>
      <c r="Q968" s="12" t="s">
        <v>23</v>
      </c>
    </row>
    <row r="969" spans="1:17" x14ac:dyDescent="0.3">
      <c r="A969" s="12" t="s">
        <v>2001</v>
      </c>
      <c r="B969" s="12" t="s">
        <v>2002</v>
      </c>
      <c r="C969" s="12" t="s">
        <v>18</v>
      </c>
      <c r="D969" s="12">
        <v>48</v>
      </c>
      <c r="E969" s="12" t="s">
        <v>55</v>
      </c>
      <c r="F969" s="12" t="s">
        <v>12</v>
      </c>
      <c r="G969" s="12" t="s">
        <v>152</v>
      </c>
      <c r="H969" s="12" t="s">
        <v>62</v>
      </c>
      <c r="I969" s="12">
        <v>25</v>
      </c>
      <c r="J969" s="12">
        <v>82015</v>
      </c>
      <c r="K969" s="12">
        <v>72.66</v>
      </c>
      <c r="L969" s="12">
        <v>5</v>
      </c>
      <c r="M969" s="12">
        <v>48</v>
      </c>
      <c r="N969" s="12">
        <v>107</v>
      </c>
      <c r="O969" s="12" t="s">
        <v>21</v>
      </c>
      <c r="P969" s="12">
        <v>8.2100000000000009</v>
      </c>
      <c r="Q969" s="12" t="s">
        <v>23</v>
      </c>
    </row>
    <row r="970" spans="1:17" x14ac:dyDescent="0.3">
      <c r="A970" s="12" t="s">
        <v>2003</v>
      </c>
      <c r="B970" s="12" t="s">
        <v>2004</v>
      </c>
      <c r="C970" s="12" t="s">
        <v>18</v>
      </c>
      <c r="D970" s="12">
        <v>49</v>
      </c>
      <c r="E970" s="12" t="s">
        <v>91</v>
      </c>
      <c r="F970" s="12" t="s">
        <v>17</v>
      </c>
      <c r="G970" s="12" t="s">
        <v>135</v>
      </c>
      <c r="H970" s="12" t="s">
        <v>86</v>
      </c>
      <c r="I970" s="12">
        <v>17</v>
      </c>
      <c r="J970" s="12">
        <v>105282</v>
      </c>
      <c r="K970" s="12">
        <v>92.78</v>
      </c>
      <c r="L970" s="12">
        <v>16</v>
      </c>
      <c r="M970" s="12">
        <v>6</v>
      </c>
      <c r="N970" s="12">
        <v>67</v>
      </c>
      <c r="O970" s="12" t="s">
        <v>20</v>
      </c>
      <c r="P970" s="12">
        <v>9.6300000000000008</v>
      </c>
      <c r="Q970" s="12" t="s">
        <v>24</v>
      </c>
    </row>
    <row r="971" spans="1:17" x14ac:dyDescent="0.3">
      <c r="A971" s="12" t="s">
        <v>2005</v>
      </c>
      <c r="B971" s="12" t="s">
        <v>2006</v>
      </c>
      <c r="C971" s="12" t="s">
        <v>18</v>
      </c>
      <c r="D971" s="12">
        <v>31</v>
      </c>
      <c r="E971" s="12" t="s">
        <v>80</v>
      </c>
      <c r="F971" s="12" t="s">
        <v>12</v>
      </c>
      <c r="G971" s="12" t="s">
        <v>92</v>
      </c>
      <c r="H971" s="12" t="s">
        <v>86</v>
      </c>
      <c r="I971" s="12">
        <v>1</v>
      </c>
      <c r="J971" s="12">
        <v>88224</v>
      </c>
      <c r="K971" s="12">
        <v>66.010000000000005</v>
      </c>
      <c r="L971" s="12">
        <v>14</v>
      </c>
      <c r="M971" s="12">
        <v>25</v>
      </c>
      <c r="N971" s="12">
        <v>68</v>
      </c>
      <c r="O971" s="12" t="s">
        <v>22</v>
      </c>
      <c r="P971" s="12">
        <v>6.9</v>
      </c>
      <c r="Q971" s="12" t="s">
        <v>23</v>
      </c>
    </row>
    <row r="972" spans="1:17" x14ac:dyDescent="0.3">
      <c r="A972" s="12" t="s">
        <v>2007</v>
      </c>
      <c r="B972" s="12" t="s">
        <v>2008</v>
      </c>
      <c r="C972" s="12" t="s">
        <v>19</v>
      </c>
      <c r="D972" s="12">
        <v>54</v>
      </c>
      <c r="E972" s="12" t="s">
        <v>80</v>
      </c>
      <c r="F972" s="12" t="s">
        <v>14</v>
      </c>
      <c r="G972" s="12" t="s">
        <v>85</v>
      </c>
      <c r="H972" s="12" t="s">
        <v>77</v>
      </c>
      <c r="I972" s="12">
        <v>11</v>
      </c>
      <c r="J972" s="12">
        <v>164502</v>
      </c>
      <c r="K972" s="12">
        <v>95.82</v>
      </c>
      <c r="L972" s="12">
        <v>12</v>
      </c>
      <c r="M972" s="12">
        <v>39</v>
      </c>
      <c r="N972" s="12">
        <v>25</v>
      </c>
      <c r="O972" s="12" t="s">
        <v>22</v>
      </c>
      <c r="P972" s="12">
        <v>6.9</v>
      </c>
      <c r="Q972" s="12" t="s">
        <v>23</v>
      </c>
    </row>
    <row r="973" spans="1:17" x14ac:dyDescent="0.3">
      <c r="A973" s="12" t="s">
        <v>2009</v>
      </c>
      <c r="B973" s="12" t="s">
        <v>2010</v>
      </c>
      <c r="C973" s="12" t="s">
        <v>18</v>
      </c>
      <c r="D973" s="12">
        <v>34</v>
      </c>
      <c r="E973" s="12" t="s">
        <v>65</v>
      </c>
      <c r="F973" s="12" t="s">
        <v>15</v>
      </c>
      <c r="G973" s="12" t="s">
        <v>130</v>
      </c>
      <c r="H973" s="12" t="s">
        <v>86</v>
      </c>
      <c r="I973" s="12">
        <v>6</v>
      </c>
      <c r="J973" s="12">
        <v>46018</v>
      </c>
      <c r="K973" s="12">
        <v>67.040000000000006</v>
      </c>
      <c r="L973" s="12">
        <v>5</v>
      </c>
      <c r="M973" s="12">
        <v>16</v>
      </c>
      <c r="N973" s="12">
        <v>94</v>
      </c>
      <c r="O973" s="12" t="s">
        <v>21</v>
      </c>
      <c r="P973" s="12">
        <v>6.24</v>
      </c>
      <c r="Q973" s="12" t="s">
        <v>23</v>
      </c>
    </row>
    <row r="974" spans="1:17" x14ac:dyDescent="0.3">
      <c r="A974" s="12" t="s">
        <v>2011</v>
      </c>
      <c r="B974" s="12" t="s">
        <v>2012</v>
      </c>
      <c r="C974" s="12" t="s">
        <v>18</v>
      </c>
      <c r="D974" s="12">
        <v>46</v>
      </c>
      <c r="E974" s="12" t="s">
        <v>55</v>
      </c>
      <c r="F974" s="12" t="s">
        <v>12</v>
      </c>
      <c r="G974" s="12" t="s">
        <v>119</v>
      </c>
      <c r="H974" s="12" t="s">
        <v>77</v>
      </c>
      <c r="I974" s="12">
        <v>15</v>
      </c>
      <c r="J974" s="12">
        <v>54177</v>
      </c>
      <c r="K974" s="12">
        <v>67.83</v>
      </c>
      <c r="L974" s="12">
        <v>13</v>
      </c>
      <c r="M974" s="12">
        <v>13</v>
      </c>
      <c r="N974" s="12">
        <v>50</v>
      </c>
      <c r="O974" s="12" t="s">
        <v>20</v>
      </c>
      <c r="P974" s="12">
        <v>8.07</v>
      </c>
      <c r="Q974" s="12" t="s">
        <v>23</v>
      </c>
    </row>
    <row r="975" spans="1:17" x14ac:dyDescent="0.3">
      <c r="A975" s="12" t="s">
        <v>2013</v>
      </c>
      <c r="B975" s="12" t="s">
        <v>2</v>
      </c>
      <c r="C975" s="12" t="s">
        <v>19</v>
      </c>
      <c r="D975" s="12">
        <v>44</v>
      </c>
      <c r="E975" s="12" t="s">
        <v>55</v>
      </c>
      <c r="F975" s="12" t="s">
        <v>13</v>
      </c>
      <c r="G975" s="12" t="s">
        <v>107</v>
      </c>
      <c r="H975" s="12" t="s">
        <v>86</v>
      </c>
      <c r="I975" s="12">
        <v>16</v>
      </c>
      <c r="J975" s="12">
        <v>62274</v>
      </c>
      <c r="K975" s="12">
        <v>99.27</v>
      </c>
      <c r="L975" s="12">
        <v>7</v>
      </c>
      <c r="M975" s="12">
        <v>22</v>
      </c>
      <c r="N975" s="12">
        <v>53</v>
      </c>
      <c r="O975" s="12" t="s">
        <v>20</v>
      </c>
      <c r="P975" s="12">
        <v>7.41</v>
      </c>
      <c r="Q975" s="12" t="s">
        <v>23</v>
      </c>
    </row>
    <row r="976" spans="1:17" x14ac:dyDescent="0.3">
      <c r="A976" s="12" t="s">
        <v>2014</v>
      </c>
      <c r="B976" s="12" t="s">
        <v>2015</v>
      </c>
      <c r="C976" s="12" t="s">
        <v>18</v>
      </c>
      <c r="D976" s="12">
        <v>51</v>
      </c>
      <c r="E976" s="12" t="s">
        <v>80</v>
      </c>
      <c r="F976" s="12" t="s">
        <v>16</v>
      </c>
      <c r="G976" s="12" t="s">
        <v>181</v>
      </c>
      <c r="H976" s="12" t="s">
        <v>77</v>
      </c>
      <c r="I976" s="12">
        <v>4</v>
      </c>
      <c r="J976" s="12">
        <v>115179</v>
      </c>
      <c r="K976" s="12">
        <v>75.59</v>
      </c>
      <c r="L976" s="12">
        <v>5</v>
      </c>
      <c r="M976" s="12">
        <v>23</v>
      </c>
      <c r="N976" s="12">
        <v>62</v>
      </c>
      <c r="O976" s="12" t="s">
        <v>21</v>
      </c>
      <c r="P976" s="12">
        <v>6.19</v>
      </c>
      <c r="Q976" s="12" t="s">
        <v>23</v>
      </c>
    </row>
    <row r="977" spans="1:17" x14ac:dyDescent="0.3">
      <c r="A977" s="12" t="s">
        <v>2016</v>
      </c>
      <c r="B977" s="12" t="s">
        <v>2017</v>
      </c>
      <c r="C977" s="12" t="s">
        <v>18</v>
      </c>
      <c r="D977" s="12">
        <v>51</v>
      </c>
      <c r="E977" s="12" t="s">
        <v>80</v>
      </c>
      <c r="F977" s="12" t="s">
        <v>16</v>
      </c>
      <c r="G977" s="12" t="s">
        <v>76</v>
      </c>
      <c r="H977" s="12" t="s">
        <v>57</v>
      </c>
      <c r="I977" s="12">
        <v>19</v>
      </c>
      <c r="J977" s="12">
        <v>48092</v>
      </c>
      <c r="K977" s="12">
        <v>86.86</v>
      </c>
      <c r="L977" s="12">
        <v>19</v>
      </c>
      <c r="M977" s="12">
        <v>25</v>
      </c>
      <c r="N977" s="12">
        <v>70</v>
      </c>
      <c r="O977" s="12" t="s">
        <v>21</v>
      </c>
      <c r="P977" s="12">
        <v>10</v>
      </c>
      <c r="Q977" s="12" t="s">
        <v>24</v>
      </c>
    </row>
    <row r="978" spans="1:17" x14ac:dyDescent="0.3">
      <c r="A978" s="12" t="s">
        <v>2018</v>
      </c>
      <c r="B978" s="12" t="s">
        <v>1</v>
      </c>
      <c r="C978" s="12" t="s">
        <v>18</v>
      </c>
      <c r="D978" s="12">
        <v>38</v>
      </c>
      <c r="E978" s="12" t="s">
        <v>80</v>
      </c>
      <c r="F978" s="12" t="s">
        <v>14</v>
      </c>
      <c r="G978" s="12" t="s">
        <v>110</v>
      </c>
      <c r="H978" s="12" t="s">
        <v>62</v>
      </c>
      <c r="I978" s="12">
        <v>6</v>
      </c>
      <c r="J978" s="12">
        <v>63776</v>
      </c>
      <c r="K978" s="12">
        <v>90.61</v>
      </c>
      <c r="L978" s="12">
        <v>1</v>
      </c>
      <c r="M978" s="12">
        <v>56</v>
      </c>
      <c r="N978" s="12">
        <v>5</v>
      </c>
      <c r="O978" s="12" t="s">
        <v>20</v>
      </c>
      <c r="P978" s="12">
        <v>4.16</v>
      </c>
      <c r="Q978" s="12" t="s">
        <v>23</v>
      </c>
    </row>
    <row r="979" spans="1:17" x14ac:dyDescent="0.3">
      <c r="A979" s="12" t="s">
        <v>2019</v>
      </c>
      <c r="B979" s="12" t="s">
        <v>2020</v>
      </c>
      <c r="C979" s="12" t="s">
        <v>19</v>
      </c>
      <c r="D979" s="12">
        <v>35</v>
      </c>
      <c r="E979" s="12" t="s">
        <v>55</v>
      </c>
      <c r="F979" s="12" t="s">
        <v>15</v>
      </c>
      <c r="G979" s="12" t="s">
        <v>130</v>
      </c>
      <c r="H979" s="12" t="s">
        <v>86</v>
      </c>
      <c r="I979" s="12">
        <v>12</v>
      </c>
      <c r="J979" s="12">
        <v>142630</v>
      </c>
      <c r="K979" s="12">
        <v>67.84</v>
      </c>
      <c r="L979" s="12">
        <v>5</v>
      </c>
      <c r="M979" s="12">
        <v>43</v>
      </c>
      <c r="N979" s="12">
        <v>89</v>
      </c>
      <c r="O979" s="12" t="s">
        <v>22</v>
      </c>
      <c r="P979" s="12">
        <v>6.94</v>
      </c>
      <c r="Q979" s="12" t="s">
        <v>23</v>
      </c>
    </row>
    <row r="980" spans="1:17" x14ac:dyDescent="0.3">
      <c r="A980" s="12" t="s">
        <v>2021</v>
      </c>
      <c r="B980" s="12" t="s">
        <v>2022</v>
      </c>
      <c r="C980" s="12" t="s">
        <v>18</v>
      </c>
      <c r="D980" s="12">
        <v>57</v>
      </c>
      <c r="E980" s="12" t="s">
        <v>69</v>
      </c>
      <c r="F980" s="12" t="s">
        <v>13</v>
      </c>
      <c r="G980" s="12" t="s">
        <v>66</v>
      </c>
      <c r="H980" s="12" t="s">
        <v>62</v>
      </c>
      <c r="I980" s="12">
        <v>3</v>
      </c>
      <c r="J980" s="12">
        <v>79711</v>
      </c>
      <c r="K980" s="12">
        <v>66.599999999999994</v>
      </c>
      <c r="L980" s="12">
        <v>3</v>
      </c>
      <c r="M980" s="12">
        <v>56</v>
      </c>
      <c r="N980" s="12">
        <v>90</v>
      </c>
      <c r="O980" s="12" t="s">
        <v>21</v>
      </c>
      <c r="P980" s="12">
        <v>4.8499999999999996</v>
      </c>
      <c r="Q980" s="12" t="s">
        <v>23</v>
      </c>
    </row>
    <row r="981" spans="1:17" x14ac:dyDescent="0.3">
      <c r="A981" s="12" t="s">
        <v>2023</v>
      </c>
      <c r="B981" s="12" t="s">
        <v>2024</v>
      </c>
      <c r="C981" s="12" t="s">
        <v>18</v>
      </c>
      <c r="D981" s="12">
        <v>55</v>
      </c>
      <c r="E981" s="12" t="s">
        <v>60</v>
      </c>
      <c r="F981" s="12" t="s">
        <v>17</v>
      </c>
      <c r="G981" s="12" t="s">
        <v>135</v>
      </c>
      <c r="H981" s="12" t="s">
        <v>57</v>
      </c>
      <c r="I981" s="12">
        <v>21</v>
      </c>
      <c r="J981" s="12">
        <v>123641</v>
      </c>
      <c r="K981" s="12">
        <v>91.62</v>
      </c>
      <c r="L981" s="12">
        <v>7</v>
      </c>
      <c r="M981" s="12">
        <v>55</v>
      </c>
      <c r="N981" s="12">
        <v>37</v>
      </c>
      <c r="O981" s="12" t="s">
        <v>22</v>
      </c>
      <c r="P981" s="12">
        <v>6.77</v>
      </c>
      <c r="Q981" s="12" t="s">
        <v>23</v>
      </c>
    </row>
    <row r="982" spans="1:17" x14ac:dyDescent="0.3">
      <c r="A982" s="12" t="s">
        <v>2025</v>
      </c>
      <c r="B982" s="12" t="s">
        <v>2026</v>
      </c>
      <c r="C982" s="12" t="s">
        <v>18</v>
      </c>
      <c r="D982" s="12">
        <v>38</v>
      </c>
      <c r="E982" s="12" t="s">
        <v>65</v>
      </c>
      <c r="F982" s="12" t="s">
        <v>16</v>
      </c>
      <c r="G982" s="12" t="s">
        <v>271</v>
      </c>
      <c r="H982" s="12" t="s">
        <v>57</v>
      </c>
      <c r="I982" s="12">
        <v>8</v>
      </c>
      <c r="J982" s="12">
        <v>92748</v>
      </c>
      <c r="K982" s="12">
        <v>74.84</v>
      </c>
      <c r="L982" s="12">
        <v>16</v>
      </c>
      <c r="M982" s="12">
        <v>13</v>
      </c>
      <c r="N982" s="12">
        <v>84</v>
      </c>
      <c r="O982" s="12" t="s">
        <v>20</v>
      </c>
      <c r="P982" s="12">
        <v>9.32</v>
      </c>
      <c r="Q982" s="12" t="s">
        <v>24</v>
      </c>
    </row>
    <row r="983" spans="1:17" x14ac:dyDescent="0.3">
      <c r="A983" s="12" t="s">
        <v>2027</v>
      </c>
      <c r="B983" s="12" t="s">
        <v>2028</v>
      </c>
      <c r="C983" s="12" t="s">
        <v>18</v>
      </c>
      <c r="D983" s="12">
        <v>50</v>
      </c>
      <c r="E983" s="12" t="s">
        <v>91</v>
      </c>
      <c r="F983" s="12" t="s">
        <v>12</v>
      </c>
      <c r="G983" s="12" t="s">
        <v>152</v>
      </c>
      <c r="H983" s="12" t="s">
        <v>86</v>
      </c>
      <c r="I983" s="12">
        <v>26</v>
      </c>
      <c r="J983" s="12">
        <v>115569</v>
      </c>
      <c r="K983" s="12">
        <v>94.83</v>
      </c>
      <c r="L983" s="12">
        <v>14</v>
      </c>
      <c r="M983" s="12">
        <v>11</v>
      </c>
      <c r="N983" s="12">
        <v>92</v>
      </c>
      <c r="O983" s="12" t="s">
        <v>20</v>
      </c>
      <c r="P983" s="12">
        <v>9.94</v>
      </c>
      <c r="Q983" s="12" t="s">
        <v>24</v>
      </c>
    </row>
    <row r="984" spans="1:17" x14ac:dyDescent="0.3">
      <c r="A984" s="12" t="s">
        <v>2029</v>
      </c>
      <c r="B984" s="12" t="s">
        <v>2030</v>
      </c>
      <c r="C984" s="12" t="s">
        <v>19</v>
      </c>
      <c r="D984" s="12">
        <v>51</v>
      </c>
      <c r="E984" s="12" t="s">
        <v>91</v>
      </c>
      <c r="F984" s="12" t="s">
        <v>14</v>
      </c>
      <c r="G984" s="12" t="s">
        <v>70</v>
      </c>
      <c r="H984" s="12" t="s">
        <v>62</v>
      </c>
      <c r="I984" s="12">
        <v>8</v>
      </c>
      <c r="J984" s="12">
        <v>125239</v>
      </c>
      <c r="K984" s="12">
        <v>84.27</v>
      </c>
      <c r="L984" s="12">
        <v>5</v>
      </c>
      <c r="M984" s="12">
        <v>14</v>
      </c>
      <c r="N984" s="12">
        <v>68</v>
      </c>
      <c r="O984" s="12" t="s">
        <v>22</v>
      </c>
      <c r="P984" s="12">
        <v>7</v>
      </c>
      <c r="Q984" s="12" t="s">
        <v>23</v>
      </c>
    </row>
    <row r="985" spans="1:17" x14ac:dyDescent="0.3">
      <c r="A985" s="12" t="s">
        <v>2031</v>
      </c>
      <c r="B985" s="12" t="s">
        <v>2032</v>
      </c>
      <c r="C985" s="12" t="s">
        <v>18</v>
      </c>
      <c r="D985" s="12">
        <v>43</v>
      </c>
      <c r="E985" s="12" t="s">
        <v>91</v>
      </c>
      <c r="F985" s="12" t="s">
        <v>12</v>
      </c>
      <c r="G985" s="12" t="s">
        <v>152</v>
      </c>
      <c r="H985" s="12" t="s">
        <v>86</v>
      </c>
      <c r="I985" s="12">
        <v>19</v>
      </c>
      <c r="J985" s="12">
        <v>146496</v>
      </c>
      <c r="K985" s="12">
        <v>96.04</v>
      </c>
      <c r="L985" s="12">
        <v>2</v>
      </c>
      <c r="M985" s="12">
        <v>46</v>
      </c>
      <c r="N985" s="12">
        <v>112</v>
      </c>
      <c r="O985" s="12" t="s">
        <v>20</v>
      </c>
      <c r="P985" s="12">
        <v>6.99</v>
      </c>
      <c r="Q985" s="12" t="s">
        <v>23</v>
      </c>
    </row>
    <row r="986" spans="1:17" x14ac:dyDescent="0.3">
      <c r="A986" s="12" t="s">
        <v>2033</v>
      </c>
      <c r="B986" s="12" t="s">
        <v>2034</v>
      </c>
      <c r="C986" s="12" t="s">
        <v>19</v>
      </c>
      <c r="D986" s="12">
        <v>46</v>
      </c>
      <c r="E986" s="12" t="s">
        <v>91</v>
      </c>
      <c r="F986" s="12" t="s">
        <v>13</v>
      </c>
      <c r="G986" s="12" t="s">
        <v>56</v>
      </c>
      <c r="H986" s="12" t="s">
        <v>57</v>
      </c>
      <c r="I986" s="12">
        <v>3</v>
      </c>
      <c r="J986" s="12">
        <v>89907</v>
      </c>
      <c r="K986" s="12">
        <v>65.41</v>
      </c>
      <c r="L986" s="12">
        <v>4</v>
      </c>
      <c r="M986" s="12">
        <v>18</v>
      </c>
      <c r="N986" s="12">
        <v>19</v>
      </c>
      <c r="O986" s="12" t="s">
        <v>22</v>
      </c>
      <c r="P986" s="12">
        <v>5.48</v>
      </c>
      <c r="Q986" s="12" t="s">
        <v>23</v>
      </c>
    </row>
    <row r="987" spans="1:17" x14ac:dyDescent="0.3">
      <c r="A987" s="12" t="s">
        <v>2035</v>
      </c>
      <c r="B987" s="12" t="s">
        <v>2036</v>
      </c>
      <c r="C987" s="12" t="s">
        <v>18</v>
      </c>
      <c r="D987" s="12">
        <v>51</v>
      </c>
      <c r="E987" s="12" t="s">
        <v>55</v>
      </c>
      <c r="F987" s="12" t="s">
        <v>14</v>
      </c>
      <c r="G987" s="12" t="s">
        <v>248</v>
      </c>
      <c r="H987" s="12" t="s">
        <v>57</v>
      </c>
      <c r="I987" s="12">
        <v>2</v>
      </c>
      <c r="J987" s="12">
        <v>97129</v>
      </c>
      <c r="K987" s="12">
        <v>87.25</v>
      </c>
      <c r="L987" s="12">
        <v>9</v>
      </c>
      <c r="M987" s="12">
        <v>42</v>
      </c>
      <c r="N987" s="12">
        <v>109</v>
      </c>
      <c r="O987" s="12" t="s">
        <v>20</v>
      </c>
      <c r="P987" s="12">
        <v>8.25</v>
      </c>
      <c r="Q987" s="12" t="s">
        <v>23</v>
      </c>
    </row>
    <row r="988" spans="1:17" x14ac:dyDescent="0.3">
      <c r="A988" s="12" t="s">
        <v>2037</v>
      </c>
      <c r="B988" s="12" t="s">
        <v>2038</v>
      </c>
      <c r="C988" s="12" t="s">
        <v>18</v>
      </c>
      <c r="D988" s="12">
        <v>33</v>
      </c>
      <c r="E988" s="12" t="s">
        <v>69</v>
      </c>
      <c r="F988" s="12" t="s">
        <v>13</v>
      </c>
      <c r="G988" s="12" t="s">
        <v>107</v>
      </c>
      <c r="H988" s="12" t="s">
        <v>77</v>
      </c>
      <c r="I988" s="12">
        <v>12</v>
      </c>
      <c r="J988" s="12">
        <v>54975</v>
      </c>
      <c r="K988" s="12">
        <v>75.59</v>
      </c>
      <c r="L988" s="12">
        <v>18</v>
      </c>
      <c r="M988" s="12">
        <v>9</v>
      </c>
      <c r="N988" s="12">
        <v>112</v>
      </c>
      <c r="O988" s="12" t="s">
        <v>22</v>
      </c>
      <c r="P988" s="12">
        <v>9.02</v>
      </c>
      <c r="Q988" s="12" t="s">
        <v>24</v>
      </c>
    </row>
    <row r="989" spans="1:17" x14ac:dyDescent="0.3">
      <c r="A989" s="12" t="s">
        <v>2039</v>
      </c>
      <c r="B989" s="12" t="s">
        <v>2040</v>
      </c>
      <c r="C989" s="12" t="s">
        <v>18</v>
      </c>
      <c r="D989" s="12">
        <v>57</v>
      </c>
      <c r="E989" s="12" t="s">
        <v>80</v>
      </c>
      <c r="F989" s="12" t="s">
        <v>16</v>
      </c>
      <c r="G989" s="12" t="s">
        <v>181</v>
      </c>
      <c r="H989" s="12" t="s">
        <v>57</v>
      </c>
      <c r="I989" s="12">
        <v>21</v>
      </c>
      <c r="J989" s="12">
        <v>84191</v>
      </c>
      <c r="K989" s="12">
        <v>76.680000000000007</v>
      </c>
      <c r="L989" s="12">
        <v>3</v>
      </c>
      <c r="M989" s="12">
        <v>4</v>
      </c>
      <c r="N989" s="12">
        <v>102</v>
      </c>
      <c r="O989" s="12" t="s">
        <v>21</v>
      </c>
      <c r="P989" s="12">
        <v>8.4700000000000006</v>
      </c>
      <c r="Q989" s="12" t="s">
        <v>23</v>
      </c>
    </row>
    <row r="990" spans="1:17" x14ac:dyDescent="0.3">
      <c r="A990" s="12" t="s">
        <v>2041</v>
      </c>
      <c r="B990" s="12" t="s">
        <v>2042</v>
      </c>
      <c r="C990" s="12" t="s">
        <v>19</v>
      </c>
      <c r="D990" s="12">
        <v>24</v>
      </c>
      <c r="E990" s="12" t="s">
        <v>91</v>
      </c>
      <c r="F990" s="12" t="s">
        <v>17</v>
      </c>
      <c r="G990" s="12" t="s">
        <v>99</v>
      </c>
      <c r="H990" s="12" t="s">
        <v>77</v>
      </c>
      <c r="I990" s="12">
        <v>1</v>
      </c>
      <c r="J990" s="12">
        <v>55044</v>
      </c>
      <c r="K990" s="12">
        <v>96.76</v>
      </c>
      <c r="L990" s="12">
        <v>11</v>
      </c>
      <c r="M990" s="12">
        <v>49</v>
      </c>
      <c r="N990" s="12">
        <v>95</v>
      </c>
      <c r="O990" s="12" t="s">
        <v>21</v>
      </c>
      <c r="P990" s="12">
        <v>8.19</v>
      </c>
      <c r="Q990" s="12" t="s">
        <v>23</v>
      </c>
    </row>
    <row r="991" spans="1:17" x14ac:dyDescent="0.3">
      <c r="A991" s="12" t="s">
        <v>2043</v>
      </c>
      <c r="B991" s="12" t="s">
        <v>2044</v>
      </c>
      <c r="C991" s="12" t="s">
        <v>19</v>
      </c>
      <c r="D991" s="12">
        <v>28</v>
      </c>
      <c r="E991" s="12" t="s">
        <v>91</v>
      </c>
      <c r="F991" s="12" t="s">
        <v>16</v>
      </c>
      <c r="G991" s="12" t="s">
        <v>76</v>
      </c>
      <c r="H991" s="12" t="s">
        <v>57</v>
      </c>
      <c r="I991" s="12">
        <v>7</v>
      </c>
      <c r="J991" s="12">
        <v>118728</v>
      </c>
      <c r="K991" s="12">
        <v>92.71</v>
      </c>
      <c r="L991" s="12">
        <v>1</v>
      </c>
      <c r="M991" s="12">
        <v>0</v>
      </c>
      <c r="N991" s="12">
        <v>19</v>
      </c>
      <c r="O991" s="12" t="s">
        <v>22</v>
      </c>
      <c r="P991" s="12">
        <v>5.03</v>
      </c>
      <c r="Q991" s="12" t="s">
        <v>23</v>
      </c>
    </row>
    <row r="992" spans="1:17" x14ac:dyDescent="0.3">
      <c r="A992" s="12" t="s">
        <v>2045</v>
      </c>
      <c r="B992" s="12" t="s">
        <v>2046</v>
      </c>
      <c r="C992" s="12" t="s">
        <v>18</v>
      </c>
      <c r="D992" s="12">
        <v>49</v>
      </c>
      <c r="E992" s="12" t="s">
        <v>65</v>
      </c>
      <c r="F992" s="12" t="s">
        <v>17</v>
      </c>
      <c r="G992" s="12" t="s">
        <v>102</v>
      </c>
      <c r="H992" s="12" t="s">
        <v>62</v>
      </c>
      <c r="I992" s="12">
        <v>16</v>
      </c>
      <c r="J992" s="12">
        <v>65940</v>
      </c>
      <c r="K992" s="12">
        <v>72.680000000000007</v>
      </c>
      <c r="L992" s="12">
        <v>9</v>
      </c>
      <c r="M992" s="12">
        <v>36</v>
      </c>
      <c r="N992" s="12">
        <v>43</v>
      </c>
      <c r="O992" s="12" t="s">
        <v>20</v>
      </c>
      <c r="P992" s="12">
        <v>5.99</v>
      </c>
      <c r="Q992" s="12" t="s">
        <v>23</v>
      </c>
    </row>
    <row r="993" spans="1:17" x14ac:dyDescent="0.3">
      <c r="A993" s="12" t="s">
        <v>2047</v>
      </c>
      <c r="B993" s="12" t="s">
        <v>2048</v>
      </c>
      <c r="C993" s="12" t="s">
        <v>18</v>
      </c>
      <c r="D993" s="12">
        <v>36</v>
      </c>
      <c r="E993" s="12" t="s">
        <v>65</v>
      </c>
      <c r="F993" s="12" t="s">
        <v>17</v>
      </c>
      <c r="G993" s="12" t="s">
        <v>135</v>
      </c>
      <c r="H993" s="12" t="s">
        <v>62</v>
      </c>
      <c r="I993" s="12">
        <v>2</v>
      </c>
      <c r="J993" s="12">
        <v>124931</v>
      </c>
      <c r="K993" s="12">
        <v>70.88</v>
      </c>
      <c r="L993" s="12">
        <v>6</v>
      </c>
      <c r="M993" s="12">
        <v>45</v>
      </c>
      <c r="N993" s="12">
        <v>22</v>
      </c>
      <c r="O993" s="12" t="s">
        <v>22</v>
      </c>
      <c r="P993" s="12">
        <v>5.41</v>
      </c>
      <c r="Q993" s="12" t="s">
        <v>23</v>
      </c>
    </row>
    <row r="994" spans="1:17" x14ac:dyDescent="0.3">
      <c r="A994" s="12" t="s">
        <v>2049</v>
      </c>
      <c r="B994" s="12" t="s">
        <v>2050</v>
      </c>
      <c r="C994" s="12" t="s">
        <v>19</v>
      </c>
      <c r="D994" s="12">
        <v>43</v>
      </c>
      <c r="E994" s="12" t="s">
        <v>80</v>
      </c>
      <c r="F994" s="12" t="s">
        <v>13</v>
      </c>
      <c r="G994" s="12" t="s">
        <v>66</v>
      </c>
      <c r="H994" s="12" t="s">
        <v>86</v>
      </c>
      <c r="I994" s="12">
        <v>12</v>
      </c>
      <c r="J994" s="12">
        <v>86256</v>
      </c>
      <c r="K994" s="12">
        <v>68.81</v>
      </c>
      <c r="L994" s="12">
        <v>11</v>
      </c>
      <c r="M994" s="12">
        <v>6</v>
      </c>
      <c r="N994" s="12">
        <v>59</v>
      </c>
      <c r="O994" s="12" t="s">
        <v>22</v>
      </c>
      <c r="P994" s="12">
        <v>7.53</v>
      </c>
      <c r="Q994" s="12" t="s">
        <v>23</v>
      </c>
    </row>
    <row r="995" spans="1:17" x14ac:dyDescent="0.3">
      <c r="A995" s="12" t="s">
        <v>2051</v>
      </c>
      <c r="B995" s="12" t="s">
        <v>2052</v>
      </c>
      <c r="C995" s="12" t="s">
        <v>18</v>
      </c>
      <c r="D995" s="12">
        <v>35</v>
      </c>
      <c r="E995" s="12" t="s">
        <v>60</v>
      </c>
      <c r="F995" s="12" t="s">
        <v>15</v>
      </c>
      <c r="G995" s="12" t="s">
        <v>130</v>
      </c>
      <c r="H995" s="12" t="s">
        <v>77</v>
      </c>
      <c r="I995" s="12">
        <v>7</v>
      </c>
      <c r="J995" s="12">
        <v>67290</v>
      </c>
      <c r="K995" s="12">
        <v>91.03</v>
      </c>
      <c r="L995" s="12">
        <v>13</v>
      </c>
      <c r="M995" s="12">
        <v>57</v>
      </c>
      <c r="N995" s="12">
        <v>49</v>
      </c>
      <c r="O995" s="12" t="s">
        <v>22</v>
      </c>
      <c r="P995" s="12">
        <v>6.57</v>
      </c>
      <c r="Q995" s="12" t="s">
        <v>23</v>
      </c>
    </row>
    <row r="996" spans="1:17" x14ac:dyDescent="0.3">
      <c r="A996" s="12" t="s">
        <v>2053</v>
      </c>
      <c r="B996" s="12" t="s">
        <v>2054</v>
      </c>
      <c r="C996" s="12" t="s">
        <v>19</v>
      </c>
      <c r="D996" s="12">
        <v>52</v>
      </c>
      <c r="E996" s="12" t="s">
        <v>55</v>
      </c>
      <c r="F996" s="12" t="s">
        <v>16</v>
      </c>
      <c r="G996" s="12" t="s">
        <v>76</v>
      </c>
      <c r="H996" s="12" t="s">
        <v>86</v>
      </c>
      <c r="I996" s="12">
        <v>19</v>
      </c>
      <c r="J996" s="12">
        <v>72811</v>
      </c>
      <c r="K996" s="12">
        <v>76.23</v>
      </c>
      <c r="L996" s="12">
        <v>4</v>
      </c>
      <c r="M996" s="12">
        <v>28</v>
      </c>
      <c r="N996" s="12">
        <v>96</v>
      </c>
      <c r="O996" s="12" t="s">
        <v>20</v>
      </c>
      <c r="P996" s="12">
        <v>6.41</v>
      </c>
      <c r="Q996" s="12" t="s">
        <v>23</v>
      </c>
    </row>
    <row r="997" spans="1:17" x14ac:dyDescent="0.3">
      <c r="A997" s="12" t="s">
        <v>2055</v>
      </c>
      <c r="B997" s="12" t="s">
        <v>2056</v>
      </c>
      <c r="C997" s="12" t="s">
        <v>18</v>
      </c>
      <c r="D997" s="12">
        <v>23</v>
      </c>
      <c r="E997" s="12" t="s">
        <v>65</v>
      </c>
      <c r="F997" s="12" t="s">
        <v>14</v>
      </c>
      <c r="G997" s="12" t="s">
        <v>85</v>
      </c>
      <c r="H997" s="12" t="s">
        <v>77</v>
      </c>
      <c r="I997" s="12">
        <v>2</v>
      </c>
      <c r="J997" s="12">
        <v>85685</v>
      </c>
      <c r="K997" s="12">
        <v>90.55</v>
      </c>
      <c r="L997" s="12">
        <v>10</v>
      </c>
      <c r="M997" s="12">
        <v>44</v>
      </c>
      <c r="N997" s="12">
        <v>13</v>
      </c>
      <c r="O997" s="12" t="s">
        <v>21</v>
      </c>
      <c r="P997" s="12">
        <v>6.39</v>
      </c>
      <c r="Q997" s="12" t="s">
        <v>23</v>
      </c>
    </row>
    <row r="998" spans="1:17" x14ac:dyDescent="0.3">
      <c r="A998" s="12" t="s">
        <v>2057</v>
      </c>
      <c r="B998" s="12" t="s">
        <v>2058</v>
      </c>
      <c r="C998" s="12" t="s">
        <v>19</v>
      </c>
      <c r="D998" s="12">
        <v>22</v>
      </c>
      <c r="E998" s="12" t="s">
        <v>65</v>
      </c>
      <c r="F998" s="12" t="s">
        <v>13</v>
      </c>
      <c r="G998" s="12" t="s">
        <v>66</v>
      </c>
      <c r="H998" s="12" t="s">
        <v>86</v>
      </c>
      <c r="I998" s="12">
        <v>0</v>
      </c>
      <c r="J998" s="12">
        <v>83066</v>
      </c>
      <c r="K998" s="12">
        <v>67.819999999999993</v>
      </c>
      <c r="L998" s="12">
        <v>17</v>
      </c>
      <c r="M998" s="12">
        <v>20</v>
      </c>
      <c r="N998" s="12">
        <v>104</v>
      </c>
      <c r="O998" s="12" t="s">
        <v>21</v>
      </c>
      <c r="P998" s="12">
        <v>8.18</v>
      </c>
      <c r="Q998" s="12" t="s">
        <v>23</v>
      </c>
    </row>
    <row r="999" spans="1:17" x14ac:dyDescent="0.3">
      <c r="A999" s="12" t="s">
        <v>2059</v>
      </c>
      <c r="B999" s="12" t="s">
        <v>2060</v>
      </c>
      <c r="C999" s="12" t="s">
        <v>18</v>
      </c>
      <c r="D999" s="12">
        <v>55</v>
      </c>
      <c r="E999" s="12" t="s">
        <v>60</v>
      </c>
      <c r="F999" s="12" t="s">
        <v>12</v>
      </c>
      <c r="G999" s="12" t="s">
        <v>152</v>
      </c>
      <c r="H999" s="12" t="s">
        <v>62</v>
      </c>
      <c r="I999" s="12">
        <v>34</v>
      </c>
      <c r="J999" s="12">
        <v>94194</v>
      </c>
      <c r="K999" s="12">
        <v>71</v>
      </c>
      <c r="L999" s="12">
        <v>4</v>
      </c>
      <c r="M999" s="12">
        <v>59</v>
      </c>
      <c r="N999" s="12">
        <v>113</v>
      </c>
      <c r="O999" s="12" t="s">
        <v>20</v>
      </c>
      <c r="P999" s="12">
        <v>7.09</v>
      </c>
      <c r="Q999" s="12" t="s">
        <v>23</v>
      </c>
    </row>
    <row r="1000" spans="1:17" x14ac:dyDescent="0.3">
      <c r="A1000" s="12" t="s">
        <v>2061</v>
      </c>
      <c r="B1000" s="12" t="s">
        <v>2062</v>
      </c>
      <c r="C1000" s="12" t="s">
        <v>18</v>
      </c>
      <c r="D1000" s="12">
        <v>23</v>
      </c>
      <c r="E1000" s="12" t="s">
        <v>69</v>
      </c>
      <c r="F1000" s="12" t="s">
        <v>17</v>
      </c>
      <c r="G1000" s="12" t="s">
        <v>99</v>
      </c>
      <c r="H1000" s="12" t="s">
        <v>86</v>
      </c>
      <c r="I1000" s="12">
        <v>1</v>
      </c>
      <c r="J1000" s="12">
        <v>94641</v>
      </c>
      <c r="K1000" s="12">
        <v>80.64</v>
      </c>
      <c r="L1000" s="12">
        <v>13</v>
      </c>
      <c r="M1000" s="12">
        <v>0</v>
      </c>
      <c r="N1000" s="12">
        <v>73</v>
      </c>
      <c r="O1000" s="12" t="s">
        <v>21</v>
      </c>
      <c r="P1000" s="12">
        <v>8.27</v>
      </c>
      <c r="Q1000" s="12" t="s">
        <v>23</v>
      </c>
    </row>
    <row r="1001" spans="1:17" x14ac:dyDescent="0.3">
      <c r="A1001" s="12" t="s">
        <v>2063</v>
      </c>
      <c r="B1001" s="12" t="s">
        <v>2064</v>
      </c>
      <c r="C1001" s="12" t="s">
        <v>19</v>
      </c>
      <c r="D1001" s="12">
        <v>52</v>
      </c>
      <c r="E1001" s="12" t="s">
        <v>65</v>
      </c>
      <c r="F1001" s="12" t="s">
        <v>15</v>
      </c>
      <c r="G1001" s="12" t="s">
        <v>61</v>
      </c>
      <c r="H1001" s="12" t="s">
        <v>57</v>
      </c>
      <c r="I1001" s="12">
        <v>0</v>
      </c>
      <c r="J1001" s="12">
        <v>33120</v>
      </c>
      <c r="K1001" s="12">
        <v>98.85</v>
      </c>
      <c r="L1001" s="12">
        <v>18</v>
      </c>
      <c r="M1001" s="12">
        <v>5</v>
      </c>
      <c r="N1001" s="12">
        <v>98</v>
      </c>
      <c r="O1001" s="12" t="s">
        <v>21</v>
      </c>
      <c r="P1001" s="12">
        <v>8.85</v>
      </c>
      <c r="Q1001" s="12" t="s">
        <v>23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employee_performance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Skanda Sai M</cp:lastModifiedBy>
  <dcterms:created xsi:type="dcterms:W3CDTF">2026-05-08T15:54:53Z</dcterms:created>
  <dcterms:modified xsi:type="dcterms:W3CDTF">2026-05-10T17:26:31Z</dcterms:modified>
</cp:coreProperties>
</file>